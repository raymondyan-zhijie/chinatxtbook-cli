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868b57b3a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总览" sheetId="1" r:id="Rcf9a144afda44476"/>
    <x:sheet xmlns:r="http://schemas.openxmlformats.org/officeDocument/2006/relationships" name="详细测试用例" sheetId="2" r:id="Rf6ba5d27d2434e0c"/>
    <x:sheet xmlns:r="http://schemas.openxmlformats.org/officeDocument/2006/relationships" name="UAT验收清单" sheetId="3" r:id="Rde08df17a0ca4e18"/>
    <x:sheet xmlns:r="http://schemas.openxmlformats.org/officeDocument/2006/relationships" name="环境矩阵" sheetId="4" r:id="R234fc7fac82249b9"/>
    <x:sheet xmlns:r="http://schemas.openxmlformats.org/officeDocument/2006/relationships" name="缺陷记录" sheetId="5" r:id="R4f2e6af626834b97"/>
    <x:sheet xmlns:r="http://schemas.openxmlformats.org/officeDocument/2006/relationships" name="数据字典" sheetId="6" r:id="Rc32d3f25421b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e5e7599ba47ee" /><Relationship Type="http://schemas.openxmlformats.org/officeDocument/2006/relationships/theme" Target="/xl/theme/theme1.xml" Id="R6d2cedc3afa746bd" /><Relationship Type="http://schemas.openxmlformats.org/officeDocument/2006/relationships/sharedStrings" Target="/xl/sharedStrings.xml" Id="R38010065f7294795" /><Relationship Type="http://schemas.openxmlformats.org/officeDocument/2006/relationships/worksheet" Target="/xl/worksheets/sheet1.xml" Id="Rcf9a144afda44476" /><Relationship Type="http://schemas.openxmlformats.org/officeDocument/2006/relationships/worksheet" Target="/xl/worksheets/sheet2.xml" Id="Rf6ba5d27d2434e0c" /><Relationship Type="http://schemas.openxmlformats.org/officeDocument/2006/relationships/worksheet" Target="/xl/worksheets/sheet3.xml" Id="Rde08df17a0ca4e18" /><Relationship Type="http://schemas.openxmlformats.org/officeDocument/2006/relationships/worksheet" Target="/xl/worksheets/sheet4.xml" Id="R234fc7fac82249b9" /><Relationship Type="http://schemas.openxmlformats.org/officeDocument/2006/relationships/worksheet" Target="/xl/worksheets/sheet5.xml" Id="R4f2e6af626834b97" /><Relationship Type="http://schemas.openxmlformats.org/officeDocument/2006/relationships/worksheet" Target="/xl/worksheets/sheet6.xml" Id="Rc32d3f25421b47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528a0266534b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测试执行状态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'执行总览'!$A$4:$A$9</c:f>
              <c:strCache>
                <c:ptCount val="0"/>
              </c:strCache>
            </c:strRef>
          </c:cat>
          <c:val>
            <c:numRef>
              <c:f>'执行总览'!$B$4:$B$9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528a0266534b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iledTestCases" displayName="DetailedTestCases" ref="A1:P149" headerRowCount="1">
  <x:tableColumns count="16">
    <x:tableColumn id="1" name="用例ID"/>
    <x:tableColumn id="2" name="需求ID"/>
    <x:tableColumn id="3" name="模块"/>
    <x:tableColumn id="4" name="测试层级"/>
    <x:tableColumn id="5" name="用例标题"/>
    <x:tableColumn id="6" name="前置条件"/>
    <x:tableColumn id="7" name="测试步骤"/>
    <x:tableColumn id="8" name="预期结果"/>
    <x:tableColumn id="9" name="优先级"/>
    <x:tableColumn id="10" name="自动化建议"/>
    <x:tableColumn id="11" name="平台"/>
    <x:tableColumn id="12" name="执行状态"/>
    <x:tableColumn id="13" name="执行人"/>
    <x:tableColumn id="14" name="执行日期"/>
    <x:tableColumn id="15" name="缺陷ID"/>
    <x:tableColumn id="16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UATChecklist" displayName="UATChecklist" ref="A1:I21" headerRowCount="1">
  <x:tableColumns count="9">
    <x:tableColumn id="1" name="UAT编号"/>
    <x:tableColumn id="2" name="场景"/>
    <x:tableColumn id="3" name="操作步骤"/>
    <x:tableColumn id="4" name="验收结果"/>
    <x:tableColumn id="5" name="优先级"/>
    <x:tableColumn id="6" name="状态"/>
    <x:tableColumn id="7" name="验收人"/>
    <x:tableColumn id="8" name="日期"/>
    <x:tableColumn id="9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EnvironmentMatrix" displayName="EnvironmentMatrix" ref="A1:K9" headerRowCount="1">
  <x:tableColumns count="11">
    <x:tableColumn id="1" name="环境ID"/>
    <x:tableColumn id="2" name="操作系统"/>
    <x:tableColumn id="3" name="架构"/>
    <x:tableColumn id="4" name="Python"/>
    <x:tableColumn id="5" name="Git"/>
    <x:tableColumn id="6" name="终端"/>
    <x:tableColumn id="7" name="安装形式"/>
    <x:tableColumn id="8" name="网络"/>
    <x:tableColumn id="9" name="优先级"/>
    <x:tableColumn id="10" name="状态"/>
    <x:tableColumn id="11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DefectLog" displayName="DefectLog" ref="A1:P200" headerRowCount="1">
  <x:tableColumns count="16">
    <x:tableColumn id="1" name="缺陷ID"/>
    <x:tableColumn id="2" name="标题"/>
    <x:tableColumn id="3" name="关联用例"/>
    <x:tableColumn id="4" name="模块"/>
    <x:tableColumn id="5" name="严重度"/>
    <x:tableColumn id="6" name="优先级"/>
    <x:tableColumn id="7" name="状态"/>
    <x:tableColumn id="8" name="发现版本"/>
    <x:tableColumn id="9" name="发现环境"/>
    <x:tableColumn id="10" name="复现步骤"/>
    <x:tableColumn id="11" name="实际结果"/>
    <x:tableColumn id="12" name="预期结果"/>
    <x:tableColumn id="13" name="负责人"/>
    <x:tableColumn id="14" name="修复版本"/>
    <x:tableColumn id="15" name="回归状态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3dede5aa2742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0ad230b11d4a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2c37b243ed41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c2925a99a14d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2894cd9de44de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4" max="4" width="20" hidden="0" customWidth="1"/>
    <x:col min="5" max="5" width="18" hidden="0" customWidth="1"/>
  </x:cols>
  <x:sheetData>
    <x:row r="1">
      <x:c r="A1" s="5" t="str">
        <x:v>ChinaTextbook v1.1 — 测试执行总览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指标</x:v>
      </x:c>
      <x:c r="B3" s="12" t="str">
        <x:v>值</x:v>
      </x:c>
      <x:c r="D3" s="12" t="str">
        <x:v>质量门禁</x:v>
      </x:c>
      <x:c r="E3" s="12" t="str">
        <x:v>值</x:v>
      </x:c>
    </x:row>
    <x:row r="4">
      <x:c r="A4" s="16" t="str">
        <x:v>测试用例总数</x:v>
      </x:c>
      <x:c r="B4" s="16" t="n">
        <x:f>COUNTA('详细测试用例'!A2:A149)</x:f>
        <x:v>148</x:v>
      </x:c>
      <x:c r="D4" s="16" t="str">
        <x:v>P0失败/阻塞</x:v>
      </x:c>
      <x:c r="E4" s="16" t="n">
        <x:f>COUNTIFS('详细测试用例'!I2:I149,"P0",'详细测试用例'!L2:L149,"失败")+COUNTIFS('详细测试用例'!I2:I149,"P0",'详细测试用例'!L2:L149,"阻塞")</x:f>
        <x:v>0</x:v>
      </x:c>
    </x:row>
    <x:row r="5">
      <x:c r="A5" s="16" t="str">
        <x:v>通过</x:v>
      </x:c>
      <x:c r="B5" s="16" t="n">
        <x:f>COUNTIF('详细测试用例'!L2:L149,"通过")</x:f>
        <x:v>0</x:v>
      </x:c>
      <x:c r="D5" s="16" t="str">
        <x:v>UAT通过</x:v>
      </x:c>
      <x:c r="E5" s="16" t="n">
        <x:f>COUNTIF('UAT验收清单'!F2:F21,"通过")</x:f>
        <x:v>0</x:v>
      </x:c>
    </x:row>
    <x:row r="6">
      <x:c r="A6" s="16" t="str">
        <x:v>失败</x:v>
      </x:c>
      <x:c r="B6" s="16" t="n">
        <x:f>COUNTIF('详细测试用例'!L2:L149,"失败")</x:f>
        <x:v>0</x:v>
      </x:c>
      <x:c r="D6" s="16" t="str">
        <x:v>UAT失败/阻塞</x:v>
      </x:c>
      <x:c r="E6" s="16" t="n">
        <x:f>COUNTIF('UAT验收清单'!F2:F21,"失败")+COUNTIF('UAT验收清单'!F2:F21,"阻塞")</x:f>
        <x:v>0</x:v>
      </x:c>
    </x:row>
    <x:row r="7">
      <x:c r="A7" s="16" t="str">
        <x:v>阻塞</x:v>
      </x:c>
      <x:c r="B7" s="16" t="n">
        <x:f>COUNTIF('详细测试用例'!L2:L149,"阻塞")</x:f>
        <x:v>0</x:v>
      </x:c>
      <x:c r="D7" s="16" t="str">
        <x:v>必测环境通过</x:v>
      </x:c>
      <x:c r="E7" s="16" t="n">
        <x:f>COUNTIFS('环境矩阵'!I2:I9,"必测",'环境矩阵'!J2:J9,"通过")</x:f>
        <x:v>0</x:v>
      </x:c>
    </x:row>
    <x:row r="8">
      <x:c r="A8" s="16" t="str">
        <x:v>未测试</x:v>
      </x:c>
      <x:c r="B8" s="16" t="n">
        <x:f>COUNTIF('详细测试用例'!L2:L149,"未测试")</x:f>
        <x:v>148</x:v>
      </x:c>
      <x:c r="D8" s="16" t="str">
        <x:v>发布建议</x:v>
      </x:c>
      <x:c r="E8" s="16" t="str">
        <x:f>IF(AND(E4=0,E6=0,B6=0,B7=0,E5=20,E7=4),"可发布",IF(OR(E4&gt;0,E6&gt;0),"禁止发布","有条件发布"))</x:f>
        <x:v>有条件发布</x:v>
      </x:c>
    </x:row>
    <x:row r="9">
      <x:c r="A9" s="16" t="str">
        <x:v>不适用</x:v>
      </x:c>
      <x:c r="B9" s="16" t="n">
        <x:f>COUNTIF('详细测试用例'!L2:L149,"不适用")</x:f>
        <x:v>0</x:v>
      </x:c>
    </x:row>
    <x:row r="10">
      <x:c r="A10" s="16" t="str">
        <x:v>通过率</x:v>
      </x:c>
      <x:c r="B10" s="21" t="n">
        <x:f>IFERROR(B5/(B4-B9),0)</x:f>
        <x:v>0</x:v>
      </x:c>
    </x:row>
    <x:row r="13">
      <x:c r="A13" s="19" t="str">
        <x:v>说明：发布建议仅作为自动判定参考，最终仍需产品负责人、技术负责人和测试负责人签字。</x:v>
      </x:c>
      <x:c r="B13" s="19" t="str"/>
      <x:c r="C13" s="19" t="str"/>
      <x:c r="D13" s="19" t="str"/>
      <x:c r="E13" s="19" t="str"/>
      <x:c r="F13" s="19" t="str"/>
      <x:c r="G13" s="19" t="str"/>
      <x:c r="H13" s="19" t="str"/>
    </x:row>
  </x:sheetData>
  <x:mergeCells>
    <x:mergeCell ref="A1:H1"/>
    <x:mergeCell ref="A13:H13"/>
  </x:mergeCells>
  <x:conditionalFormatting sqref="E8:E8">
    <x:cfRule type="expression" dxfId="9" priority="1">
      <x:formula>E8="可发布"</x:formula>
    </x:cfRule>
    <x:cfRule type="expression" dxfId="10" priority="2">
      <x:formula>E8="禁止发布"</x:formula>
    </x:cfRule>
    <x:cfRule type="expression" dxfId="11" priority="3">
      <x:formula>E8="有条件发布"</x:formula>
    </x:cfRule>
  </x:conditionalFormatting>
  <x:pageMargins left="0.7" right="0.7" top="0.75" bottom="0.75" header="0.3" footer="0.3"/>
  <x:drawing xmlns:r="http://schemas.openxmlformats.org/officeDocument/2006/relationships" r:id="Ra53dede5aa27429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10" hidden="0" customWidth="1"/>
    <x:col min="10" max="10" width="14" hidden="0" customWidth="1"/>
    <x:col min="11" max="11" width="16" hidden="0" customWidth="1"/>
    <x:col min="12" max="12" width="12" hidden="0" customWidth="1"/>
    <x:col min="13" max="13" width="12" hidden="0" customWidth="1"/>
    <x:col min="14" max="14" width="13" hidden="0" customWidth="1"/>
    <x:col min="15" max="15" width="12" hidden="0" customWidth="1"/>
    <x:col min="16" max="16" width="28" hidden="0" customWidth="1"/>
  </x:cols>
  <x:sheetData>
    <x:row r="1">
      <x:c r="A1" s="28" t="str">
        <x:v>用例ID</x:v>
      </x:c>
      <x:c r="B1" s="28" t="str">
        <x:v>需求ID</x:v>
      </x:c>
      <x:c r="C1" s="28" t="str">
        <x:v>模块</x:v>
      </x:c>
      <x:c r="D1" s="28" t="str">
        <x:v>测试层级</x:v>
      </x:c>
      <x:c r="E1" s="28" t="str">
        <x:v>用例标题</x:v>
      </x:c>
      <x:c r="F1" s="28" t="str">
        <x:v>前置条件</x:v>
      </x:c>
      <x:c r="G1" s="28" t="str">
        <x:v>测试步骤</x:v>
      </x:c>
      <x:c r="H1" s="28" t="str">
        <x:v>预期结果</x:v>
      </x:c>
      <x:c r="I1" s="28" t="str">
        <x:v>优先级</x:v>
      </x:c>
      <x:c r="J1" s="28" t="str">
        <x:v>自动化建议</x:v>
      </x:c>
      <x:c r="K1" s="28" t="str">
        <x:v>平台</x:v>
      </x:c>
      <x:c r="L1" s="28" t="str">
        <x:v>执行状态</x:v>
      </x:c>
      <x:c r="M1" s="28" t="str">
        <x:v>执行人</x:v>
      </x:c>
      <x:c r="N1" s="28" t="str">
        <x:v>执行日期</x:v>
      </x:c>
      <x:c r="O1" s="28" t="str">
        <x:v>缺陷ID</x:v>
      </x:c>
      <x:c r="P1" s="28" t="str">
        <x:v>备注</x:v>
      </x:c>
    </x:row>
    <x:row r="2">
      <x:c r="A2" s="23" t="str">
        <x:v>TC-001</x:v>
      </x:c>
      <x:c r="B2" s="23" t="str">
        <x:v>FR-001</x:v>
      </x:c>
      <x:c r="C2" s="23" t="str">
        <x:v>环境与启动</x:v>
      </x:c>
      <x:c r="D2" s="23" t="str">
        <x:v>E2E</x:v>
      </x:c>
      <x:c r="E2" s="23" t="str">
        <x:v>Windows EXE 首次启动</x:v>
      </x:c>
      <x:c r="F2" s="23" t="str">
        <x:v>已准备对应环境条件</x:v>
      </x:c>
      <x:c r="G2" s="23" t="str">
        <x:v>启动应用并观察诊断流程</x:v>
      </x:c>
      <x:c r="H2" s="23" t="str">
        <x:v>无需 Python；成功检测 Git 并进入启动诊断</x:v>
      </x:c>
      <x:c r="I2" s="23" t="str">
        <x:v>P0</x:v>
      </x:c>
      <x:c r="J2" s="23" t="str">
        <x:v>适合自动化</x:v>
      </x:c>
      <x:c r="K2" s="23" t="str">
        <x:v>Windows+Ubuntu</x:v>
      </x:c>
      <x:c r="L2" s="23" t="str">
        <x:v>未测试</x:v>
      </x:c>
      <x:c r="M2" s="23" t="str"/>
      <x:c r="N2" s="23" t="str"/>
      <x:c r="O2" s="23" t="str"/>
      <x:c r="P2" s="23" t="str"/>
    </x:row>
    <x:row r="3">
      <x:c r="A3" s="23" t="str">
        <x:v>TC-002</x:v>
      </x:c>
      <x:c r="B3" s="23" t="str">
        <x:v>FR-001</x:v>
      </x:c>
      <x:c r="C3" s="23" t="str">
        <x:v>环境与启动</x:v>
      </x:c>
      <x:c r="D3" s="23" t="str">
        <x:v>E2E</x:v>
      </x:c>
      <x:c r="E3" s="23" t="str">
        <x:v>Ubuntu wheel 安装并运行 ctb</x:v>
      </x:c>
      <x:c r="F3" s="23" t="str">
        <x:v>已准备对应环境条件</x:v>
      </x:c>
      <x:c r="G3" s="23" t="str">
        <x:v>启动应用并观察诊断流程</x:v>
      </x:c>
      <x:c r="H3" s="23" t="str">
        <x:v>依赖自动安装，命令正常启动</x:v>
      </x:c>
      <x:c r="I3" s="23" t="str">
        <x:v>P0</x:v>
      </x:c>
      <x:c r="J3" s="23" t="str">
        <x:v>适合自动化</x:v>
      </x:c>
      <x:c r="K3" s="23" t="str">
        <x:v>Windows+Ubuntu</x:v>
      </x:c>
      <x:c r="L3" s="23" t="str">
        <x:v>未测试</x:v>
      </x:c>
      <x:c r="M3" s="23" t="str"/>
      <x:c r="N3" s="23" t="str"/>
      <x:c r="O3" s="23" t="str"/>
      <x:c r="P3" s="23" t="str"/>
    </x:row>
    <x:row r="4">
      <x:c r="A4" s="23" t="str">
        <x:v>TC-003</x:v>
      </x:c>
      <x:c r="B4" s="23" t="str">
        <x:v>FR-001</x:v>
      </x:c>
      <x:c r="C4" s="23" t="str">
        <x:v>环境与启动</x:v>
      </x:c>
      <x:c r="D4" s="23" t="str">
        <x:v>E2E</x:v>
      </x:c>
      <x:c r="E4" s="23" t="str">
        <x:v>Python 版本低于 3.10</x:v>
      </x:c>
      <x:c r="F4" s="23" t="str">
        <x:v>已准备对应环境条件</x:v>
      </x:c>
      <x:c r="G4" s="23" t="str">
        <x:v>启动应用并观察诊断流程</x:v>
      </x:c>
      <x:c r="H4" s="23" t="str">
        <x:v>明确提示版本不支持并安全退出</x:v>
      </x:c>
      <x:c r="I4" s="23" t="str">
        <x:v>P0</x:v>
      </x:c>
      <x:c r="J4" s="23" t="str">
        <x:v>适合自动化</x:v>
      </x:c>
      <x:c r="K4" s="23" t="str">
        <x:v>Windows+Ubuntu</x:v>
      </x:c>
      <x:c r="L4" s="23" t="str">
        <x:v>未测试</x:v>
      </x:c>
      <x:c r="M4" s="23" t="str"/>
      <x:c r="N4" s="23" t="str"/>
      <x:c r="O4" s="23" t="str"/>
      <x:c r="P4" s="23" t="str"/>
    </x:row>
    <x:row r="5">
      <x:c r="A5" s="23" t="str">
        <x:v>TC-004</x:v>
      </x:c>
      <x:c r="B5" s="23" t="str">
        <x:v>FR-001</x:v>
      </x:c>
      <x:c r="C5" s="23" t="str">
        <x:v>环境与启动</x:v>
      </x:c>
      <x:c r="D5" s="23" t="str">
        <x:v>E2E</x:v>
      </x:c>
      <x:c r="E5" s="23" t="str">
        <x:v>Git 未安装</x:v>
      </x:c>
      <x:c r="F5" s="23" t="str">
        <x:v>已准备对应环境条件</x:v>
      </x:c>
      <x:c r="G5" s="23" t="str">
        <x:v>启动应用并观察诊断流程</x:v>
      </x:c>
      <x:c r="H5" s="23" t="str">
        <x:v>进入受限诊断页，不执行仓库操作</x:v>
      </x:c>
      <x:c r="I5" s="23" t="str">
        <x:v>P0</x:v>
      </x:c>
      <x:c r="J5" s="23" t="str">
        <x:v>适合自动化</x:v>
      </x:c>
      <x:c r="K5" s="23" t="str">
        <x:v>Windows+Ubuntu</x:v>
      </x:c>
      <x:c r="L5" s="23" t="str">
        <x:v>未测试</x:v>
      </x:c>
      <x:c r="M5" s="23" t="str"/>
      <x:c r="N5" s="23" t="str"/>
      <x:c r="O5" s="23" t="str"/>
      <x:c r="P5" s="23" t="str"/>
    </x:row>
    <x:row r="6">
      <x:c r="A6" s="23" t="str">
        <x:v>TC-005</x:v>
      </x:c>
      <x:c r="B6" s="23" t="str">
        <x:v>FR-001</x:v>
      </x:c>
      <x:c r="C6" s="23" t="str">
        <x:v>环境与启动</x:v>
      </x:c>
      <x:c r="D6" s="23" t="str">
        <x:v>E2E</x:v>
      </x:c>
      <x:c r="E6" s="23" t="str">
        <x:v>Git 版本低于最低要求</x:v>
      </x:c>
      <x:c r="F6" s="23" t="str">
        <x:v>已准备对应环境条件</x:v>
      </x:c>
      <x:c r="G6" s="23" t="str">
        <x:v>启动应用并观察诊断流程</x:v>
      </x:c>
      <x:c r="H6" s="23" t="str">
        <x:v>显示升级建议并禁止危险流程</x:v>
      </x:c>
      <x:c r="I6" s="23" t="str">
        <x:v>P0</x:v>
      </x:c>
      <x:c r="J6" s="23" t="str">
        <x:v>适合自动化</x:v>
      </x:c>
      <x:c r="K6" s="23" t="str">
        <x:v>Windows+Ubuntu</x:v>
      </x:c>
      <x:c r="L6" s="23" t="str">
        <x:v>未测试</x:v>
      </x:c>
      <x:c r="M6" s="23" t="str"/>
      <x:c r="N6" s="23" t="str"/>
      <x:c r="O6" s="23" t="str"/>
      <x:c r="P6" s="23" t="str"/>
    </x:row>
    <x:row r="7">
      <x:c r="A7" s="23" t="str">
        <x:v>TC-006</x:v>
      </x:c>
      <x:c r="B7" s="23" t="str">
        <x:v>FR-001</x:v>
      </x:c>
      <x:c r="C7" s="23" t="str">
        <x:v>环境与启动</x:v>
      </x:c>
      <x:c r="D7" s="23" t="str">
        <x:v>E2E</x:v>
      </x:c>
      <x:c r="E7" s="23" t="str">
        <x:v>GitHub 无网络</x:v>
      </x:c>
      <x:c r="F7" s="23" t="str">
        <x:v>已准备对应环境条件</x:v>
      </x:c>
      <x:c r="G7" s="23" t="str">
        <x:v>启动应用并观察诊断流程</x:v>
      </x:c>
      <x:c r="H7" s="23" t="str">
        <x:v>启动不冻结；展示离线状态与重试入口</x:v>
      </x:c>
      <x:c r="I7" s="23" t="str">
        <x:v>P0</x:v>
      </x:c>
      <x:c r="J7" s="23" t="str">
        <x:v>适合自动化</x:v>
      </x:c>
      <x:c r="K7" s="23" t="str">
        <x:v>Windows+Ubuntu</x:v>
      </x:c>
      <x:c r="L7" s="23" t="str">
        <x:v>未测试</x:v>
      </x:c>
      <x:c r="M7" s="23" t="str"/>
      <x:c r="N7" s="23" t="str"/>
      <x:c r="O7" s="23" t="str"/>
      <x:c r="P7" s="23" t="str"/>
    </x:row>
    <x:row r="8">
      <x:c r="A8" s="23" t="str">
        <x:v>TC-007</x:v>
      </x:c>
      <x:c r="B8" s="23" t="str">
        <x:v>FR-001</x:v>
      </x:c>
      <x:c r="C8" s="23" t="str">
        <x:v>环境与启动</x:v>
      </x:c>
      <x:c r="D8" s="23" t="str">
        <x:v>E2E</x:v>
      </x:c>
      <x:c r="E8" s="23" t="str">
        <x:v>磁盘空间不足</x:v>
      </x:c>
      <x:c r="F8" s="23" t="str">
        <x:v>已准备对应环境条件</x:v>
      </x:c>
      <x:c r="G8" s="23" t="str">
        <x:v>启动应用并观察诊断流程</x:v>
      </x:c>
      <x:c r="H8" s="23" t="str">
        <x:v>启动诊断提示风险；下载前再次阻止</x:v>
      </x:c>
      <x:c r="I8" s="23" t="str">
        <x:v>P0</x:v>
      </x:c>
      <x:c r="J8" s="23" t="str">
        <x:v>适合自动化</x:v>
      </x:c>
      <x:c r="K8" s="23" t="str">
        <x:v>Windows+Ubuntu</x:v>
      </x:c>
      <x:c r="L8" s="23" t="str">
        <x:v>未测试</x:v>
      </x:c>
      <x:c r="M8" s="23" t="str"/>
      <x:c r="N8" s="23" t="str"/>
      <x:c r="O8" s="23" t="str"/>
      <x:c r="P8" s="23" t="str"/>
    </x:row>
    <x:row r="9">
      <x:c r="A9" s="23" t="str">
        <x:v>TC-008</x:v>
      </x:c>
      <x:c r="B9" s="23" t="str">
        <x:v>FR-001</x:v>
      </x:c>
      <x:c r="C9" s="23" t="str">
        <x:v>环境与启动</x:v>
      </x:c>
      <x:c r="D9" s="23" t="str">
        <x:v>E2E</x:v>
      </x:c>
      <x:c r="E9" s="23" t="str">
        <x:v>状态目录无写权限</x:v>
      </x:c>
      <x:c r="F9" s="23" t="str">
        <x:v>已准备对应环境条件</x:v>
      </x:c>
      <x:c r="G9" s="23" t="str">
        <x:v>启动应用并观察诊断流程</x:v>
      </x:c>
      <x:c r="H9" s="23" t="str">
        <x:v>进入安全模式并保留诊断信息</x:v>
      </x:c>
      <x:c r="I9" s="23" t="str">
        <x:v>P0</x:v>
      </x:c>
      <x:c r="J9" s="23" t="str">
        <x:v>适合自动化</x:v>
      </x:c>
      <x:c r="K9" s="23" t="str">
        <x:v>Windows+Ubuntu</x:v>
      </x:c>
      <x:c r="L9" s="23" t="str">
        <x:v>未测试</x:v>
      </x:c>
      <x:c r="M9" s="23" t="str"/>
      <x:c r="N9" s="23" t="str"/>
      <x:c r="O9" s="23" t="str"/>
      <x:c r="P9" s="23" t="str"/>
    </x:row>
    <x:row r="10">
      <x:c r="A10" s="23" t="str">
        <x:v>TC-009</x:v>
      </x:c>
      <x:c r="B10" s="23" t="str">
        <x:v>FR-001</x:v>
      </x:c>
      <x:c r="C10" s="23" t="str">
        <x:v>环境与启动</x:v>
      </x:c>
      <x:c r="D10" s="23" t="str">
        <x:v>E2E</x:v>
      </x:c>
      <x:c r="E10" s="23" t="str">
        <x:v>工作区不是有效 Git 仓库</x:v>
      </x:c>
      <x:c r="F10" s="23" t="str">
        <x:v>已准备对应环境条件</x:v>
      </x:c>
      <x:c r="G10" s="23" t="str">
        <x:v>启动应用并观察诊断流程</x:v>
      </x:c>
      <x:c r="H10" s="23" t="str">
        <x:v>不得继续下载；提供重新初始化方案</x:v>
      </x:c>
      <x:c r="I10" s="23" t="str">
        <x:v>P0</x:v>
      </x:c>
      <x:c r="J10" s="23" t="str">
        <x:v>适合自动化</x:v>
      </x:c>
      <x:c r="K10" s="23" t="str">
        <x:v>Windows+Ubuntu</x:v>
      </x:c>
      <x:c r="L10" s="23" t="str">
        <x:v>未测试</x:v>
      </x:c>
      <x:c r="M10" s="23" t="str"/>
      <x:c r="N10" s="23" t="str"/>
      <x:c r="O10" s="23" t="str"/>
      <x:c r="P10" s="23" t="str"/>
    </x:row>
    <x:row r="11">
      <x:c r="A11" s="23" t="str">
        <x:v>TC-010</x:v>
      </x:c>
      <x:c r="B11" s="23" t="str">
        <x:v>FR-001</x:v>
      </x:c>
      <x:c r="C11" s="23" t="str">
        <x:v>环境与启动</x:v>
      </x:c>
      <x:c r="D11" s="23" t="str">
        <x:v>E2E</x:v>
      </x:c>
      <x:c r="E11" s="23" t="str">
        <x:v>重复启动第二实例</x:v>
      </x:c>
      <x:c r="F11" s="23" t="str">
        <x:v>已准备对应环境条件</x:v>
      </x:c>
      <x:c r="G11" s="23" t="str">
        <x:v>启动应用并观察诊断流程</x:v>
      </x:c>
      <x:c r="H11" s="23" t="str">
        <x:v>第二实例只读提示或安全退出，不双写状态</x:v>
      </x:c>
      <x:c r="I11" s="23" t="str">
        <x:v>P0</x:v>
      </x:c>
      <x:c r="J11" s="23" t="str">
        <x:v>适合自动化</x:v>
      </x:c>
      <x:c r="K11" s="23" t="str">
        <x:v>Windows+Ubuntu</x:v>
      </x:c>
      <x:c r="L11" s="23" t="str">
        <x:v>未测试</x:v>
      </x:c>
      <x:c r="M11" s="23" t="str"/>
      <x:c r="N11" s="23" t="str"/>
      <x:c r="O11" s="23" t="str"/>
      <x:c r="P11" s="23" t="str"/>
    </x:row>
    <x:row r="12">
      <x:c r="A12" s="23" t="str">
        <x:v>TC-011</x:v>
      </x:c>
      <x:c r="B12" s="23" t="str">
        <x:v>FR-002/FR-003</x:v>
      </x:c>
      <x:c r="C12" s="23" t="str">
        <x:v>仓库与目录</x:v>
      </x:c>
      <x:c r="D12" s="23" t="str">
        <x:v>集成</x:v>
      </x:c>
      <x:c r="E12" s="23" t="str">
        <x:v>仅使用官方 GitHub 仓库</x:v>
      </x:c>
      <x:c r="F12" s="23" t="str">
        <x:v>准备模拟仓库树或测试仓库</x:v>
      </x:c>
      <x:c r="G12" s="23" t="str">
        <x:v>执行目录刷新并检查结果</x:v>
      </x:c>
      <x:c r="H12" s="23" t="str">
        <x:v>所有远程地址均为 TapXWorld/ChinaTextbook，界面无镜像切换</x:v>
      </x:c>
      <x:c r="I12" s="23" t="str">
        <x:v>P0</x:v>
      </x:c>
      <x:c r="J12" s="23" t="str">
        <x:v>适合自动化</x:v>
      </x:c>
      <x:c r="K12" s="23" t="str">
        <x:v>Windows+Ubuntu</x:v>
      </x:c>
      <x:c r="L12" s="23" t="str">
        <x:v>未测试</x:v>
      </x:c>
      <x:c r="M12" s="23" t="str"/>
      <x:c r="N12" s="23" t="str"/>
      <x:c r="O12" s="23" t="str"/>
      <x:c r="P12" s="23" t="str"/>
    </x:row>
    <x:row r="13">
      <x:c r="A13" s="23" t="str">
        <x:v>TC-012</x:v>
      </x:c>
      <x:c r="B13" s="23" t="str">
        <x:v>FR-002/FR-003</x:v>
      </x:c>
      <x:c r="C13" s="23" t="str">
        <x:v>仓库与目录</x:v>
      </x:c>
      <x:c r="D13" s="23" t="str">
        <x:v>集成</x:v>
      </x:c>
      <x:c r="E13" s="23" t="str">
        <x:v>仓库 URL 被篡改</x:v>
      </x:c>
      <x:c r="F13" s="23" t="str">
        <x:v>准备模拟仓库树或测试仓库</x:v>
      </x:c>
      <x:c r="G13" s="23" t="str">
        <x:v>执行目录刷新并检查结果</x:v>
      </x:c>
      <x:c r="H13" s="23" t="str">
        <x:v>检测失败并阻止操作</x:v>
      </x:c>
      <x:c r="I13" s="23" t="str">
        <x:v>P0</x:v>
      </x:c>
      <x:c r="J13" s="23" t="str">
        <x:v>适合自动化</x:v>
      </x:c>
      <x:c r="K13" s="23" t="str">
        <x:v>Windows+Ubuntu</x:v>
      </x:c>
      <x:c r="L13" s="23" t="str">
        <x:v>未测试</x:v>
      </x:c>
      <x:c r="M13" s="23" t="str"/>
      <x:c r="N13" s="23" t="str"/>
      <x:c r="O13" s="23" t="str"/>
      <x:c r="P13" s="23" t="str"/>
    </x:row>
    <x:row r="14">
      <x:c r="A14" s="23" t="str">
        <x:v>TC-013</x:v>
      </x:c>
      <x:c r="B14" s="23" t="str">
        <x:v>FR-002/FR-003</x:v>
      </x:c>
      <x:c r="C14" s="23" t="str">
        <x:v>仓库与目录</x:v>
      </x:c>
      <x:c r="D14" s="23" t="str">
        <x:v>集成</x:v>
      </x:c>
      <x:c r="E14" s="23" t="str">
        <x:v>目录刷新成功</x:v>
      </x:c>
      <x:c r="F14" s="23" t="str">
        <x:v>准备模拟仓库树或测试仓库</x:v>
      </x:c>
      <x:c r="G14" s="23" t="str">
        <x:v>执行目录刷新并检查结果</x:v>
      </x:c>
      <x:c r="H14" s="23" t="str">
        <x:v>生成新的 catalog 快照并原子保存</x:v>
      </x:c>
      <x:c r="I14" s="23" t="str">
        <x:v>P1</x:v>
      </x:c>
      <x:c r="J14" s="23" t="str">
        <x:v>适合自动化</x:v>
      </x:c>
      <x:c r="K14" s="23" t="str">
        <x:v>Windows+Ubuntu</x:v>
      </x:c>
      <x:c r="L14" s="23" t="str">
        <x:v>未测试</x:v>
      </x:c>
      <x:c r="M14" s="23" t="str"/>
      <x:c r="N14" s="23" t="str"/>
      <x:c r="O14" s="23" t="str"/>
      <x:c r="P14" s="23" t="str"/>
    </x:row>
    <x:row r="15">
      <x:c r="A15" s="23" t="str">
        <x:v>TC-014</x:v>
      </x:c>
      <x:c r="B15" s="23" t="str">
        <x:v>FR-002/FR-003</x:v>
      </x:c>
      <x:c r="C15" s="23" t="str">
        <x:v>仓库与目录</x:v>
      </x:c>
      <x:c r="D15" s="23" t="str">
        <x:v>集成</x:v>
      </x:c>
      <x:c r="E15" s="23" t="str">
        <x:v>目录刷新中网络中断</x:v>
      </x:c>
      <x:c r="F15" s="23" t="str">
        <x:v>准备模拟仓库树或测试仓库</x:v>
      </x:c>
      <x:c r="G15" s="23" t="str">
        <x:v>执行目录刷新并检查结果</x:v>
      </x:c>
      <x:c r="H15" s="23" t="str">
        <x:v>有限重试；旧缓存仍可浏览</x:v>
      </x:c>
      <x:c r="I15" s="23" t="str">
        <x:v>P1</x:v>
      </x:c>
      <x:c r="J15" s="23" t="str">
        <x:v>适合自动化</x:v>
      </x:c>
      <x:c r="K15" s="23" t="str">
        <x:v>Windows+Ubuntu</x:v>
      </x:c>
      <x:c r="L15" s="23" t="str">
        <x:v>未测试</x:v>
      </x:c>
      <x:c r="M15" s="23" t="str"/>
      <x:c r="N15" s="23" t="str"/>
      <x:c r="O15" s="23" t="str"/>
      <x:c r="P15" s="23" t="str"/>
    </x:row>
    <x:row r="16">
      <x:c r="A16" s="23" t="str">
        <x:v>TC-015</x:v>
      </x:c>
      <x:c r="B16" s="23" t="str">
        <x:v>FR-002/FR-003</x:v>
      </x:c>
      <x:c r="C16" s="23" t="str">
        <x:v>仓库与目录</x:v>
      </x:c>
      <x:c r="D16" s="23" t="str">
        <x:v>集成</x:v>
      </x:c>
      <x:c r="E16" s="23" t="str">
        <x:v>catalog 缓存损坏</x:v>
      </x:c>
      <x:c r="F16" s="23" t="str">
        <x:v>准备模拟仓库树或测试仓库</x:v>
      </x:c>
      <x:c r="G16" s="23" t="str">
        <x:v>执行目录刷新并检查结果</x:v>
      </x:c>
      <x:c r="H16" s="23" t="str">
        <x:v>自动重建缓存，不影响已验证 PDF 记录</x:v>
      </x:c>
      <x:c r="I16" s="23" t="str">
        <x:v>P1</x:v>
      </x:c>
      <x:c r="J16" s="23" t="str">
        <x:v>适合自动化</x:v>
      </x:c>
      <x:c r="K16" s="23" t="str">
        <x:v>Windows+Ubuntu</x:v>
      </x:c>
      <x:c r="L16" s="23" t="str">
        <x:v>未测试</x:v>
      </x:c>
      <x:c r="M16" s="23" t="str"/>
      <x:c r="N16" s="23" t="str"/>
      <x:c r="O16" s="23" t="str"/>
      <x:c r="P16" s="23" t="str"/>
    </x:row>
    <x:row r="17">
      <x:c r="A17" s="23" t="str">
        <x:v>TC-016</x:v>
      </x:c>
      <x:c r="B17" s="23" t="str">
        <x:v>FR-002/FR-003</x:v>
      </x:c>
      <x:c r="C17" s="23" t="str">
        <x:v>仓库与目录</x:v>
      </x:c>
      <x:c r="D17" s="23" t="str">
        <x:v>集成</x:v>
      </x:c>
      <x:c r="E17" s="23" t="str">
        <x:v>Git Tree 返回空目录</x:v>
      </x:c>
      <x:c r="F17" s="23" t="str">
        <x:v>准备模拟仓库树或测试仓库</x:v>
      </x:c>
      <x:c r="G17" s="23" t="str">
        <x:v>执行目录刷新并检查结果</x:v>
      </x:c>
      <x:c r="H17" s="23" t="str">
        <x:v>显示空目录状态，不生成伪造书目</x:v>
      </x:c>
      <x:c r="I17" s="23" t="str">
        <x:v>P1</x:v>
      </x:c>
      <x:c r="J17" s="23" t="str">
        <x:v>适合自动化</x:v>
      </x:c>
      <x:c r="K17" s="23" t="str">
        <x:v>Windows+Ubuntu</x:v>
      </x:c>
      <x:c r="L17" s="23" t="str">
        <x:v>未测试</x:v>
      </x:c>
      <x:c r="M17" s="23" t="str"/>
      <x:c r="N17" s="23" t="str"/>
      <x:c r="O17" s="23" t="str"/>
      <x:c r="P17" s="23" t="str"/>
    </x:row>
    <x:row r="18">
      <x:c r="A18" s="23" t="str">
        <x:v>TC-017</x:v>
      </x:c>
      <x:c r="B18" s="23" t="str">
        <x:v>FR-002/FR-003</x:v>
      </x:c>
      <x:c r="C18" s="23" t="str">
        <x:v>仓库与目录</x:v>
      </x:c>
      <x:c r="D18" s="23" t="str">
        <x:v>集成</x:v>
      </x:c>
      <x:c r="E18" s="23" t="str">
        <x:v>存在非 PDF 文件</x:v>
      </x:c>
      <x:c r="F18" s="23" t="str">
        <x:v>准备模拟仓库树或测试仓库</x:v>
      </x:c>
      <x:c r="G18" s="23" t="str">
        <x:v>执行目录刷新并检查结果</x:v>
      </x:c>
      <x:c r="H18" s="23" t="str">
        <x:v>忽略非教材文件，不进入 Book 聚合</x:v>
      </x:c>
      <x:c r="I18" s="23" t="str">
        <x:v>P1</x:v>
      </x:c>
      <x:c r="J18" s="23" t="str">
        <x:v>适合自动化</x:v>
      </x:c>
      <x:c r="K18" s="23" t="str">
        <x:v>Windows+Ubuntu</x:v>
      </x:c>
      <x:c r="L18" s="23" t="str">
        <x:v>未测试</x:v>
      </x:c>
      <x:c r="M18" s="23" t="str"/>
      <x:c r="N18" s="23" t="str"/>
      <x:c r="O18" s="23" t="str"/>
      <x:c r="P18" s="23" t="str"/>
    </x:row>
    <x:row r="19">
      <x:c r="A19" s="23" t="str">
        <x:v>TC-018</x:v>
      </x:c>
      <x:c r="B19" s="23" t="str">
        <x:v>FR-002/FR-003</x:v>
      </x:c>
      <x:c r="C19" s="23" t="str">
        <x:v>仓库与目录</x:v>
      </x:c>
      <x:c r="D19" s="23" t="str">
        <x:v>集成</x:v>
      </x:c>
      <x:c r="E19" s="23" t="str">
        <x:v>普通 .pdf 聚合</x:v>
      </x:c>
      <x:c r="F19" s="23" t="str">
        <x:v>准备模拟仓库树或测试仓库</x:v>
      </x:c>
      <x:c r="G19" s="23" t="str">
        <x:v>执行目录刷新并检查结果</x:v>
      </x:c>
      <x:c r="H19" s="23" t="str">
        <x:v>一个源文件对应一本 Book</x:v>
      </x:c>
      <x:c r="I19" s="23" t="str">
        <x:v>P1</x:v>
      </x:c>
      <x:c r="J19" s="23" t="str">
        <x:v>适合自动化</x:v>
      </x:c>
      <x:c r="K19" s="23" t="str">
        <x:v>Windows+Ubuntu</x:v>
      </x:c>
      <x:c r="L19" s="23" t="str">
        <x:v>未测试</x:v>
      </x:c>
      <x:c r="M19" s="23" t="str"/>
      <x:c r="N19" s="23" t="str"/>
      <x:c r="O19" s="23" t="str"/>
      <x:c r="P19" s="23" t="str"/>
    </x:row>
    <x:row r="20">
      <x:c r="A20" s="23" t="str">
        <x:v>TC-019</x:v>
      </x:c>
      <x:c r="B20" s="23" t="str">
        <x:v>FR-002/FR-003</x:v>
      </x:c>
      <x:c r="C20" s="23" t="str">
        <x:v>仓库与目录</x:v>
      </x:c>
      <x:c r="D20" s="23" t="str">
        <x:v>集成</x:v>
      </x:c>
      <x:c r="E20" s="23" t="str">
        <x:v>.pdf.1/.pdf.2 连续分卷聚合</x:v>
      </x:c>
      <x:c r="F20" s="23" t="str">
        <x:v>准备模拟仓库树或测试仓库</x:v>
      </x:c>
      <x:c r="G20" s="23" t="str">
        <x:v>执行目录刷新并检查结果</x:v>
      </x:c>
      <x:c r="H20" s="23" t="str">
        <x:v>多个分卷只显示一本 Book，parts 顺序正确</x:v>
      </x:c>
      <x:c r="I20" s="23" t="str">
        <x:v>P0</x:v>
      </x:c>
      <x:c r="J20" s="23" t="str">
        <x:v>适合自动化</x:v>
      </x:c>
      <x:c r="K20" s="23" t="str">
        <x:v>Windows+Ubuntu</x:v>
      </x:c>
      <x:c r="L20" s="23" t="str">
        <x:v>未测试</x:v>
      </x:c>
      <x:c r="M20" s="23" t="str"/>
      <x:c r="N20" s="23" t="str"/>
      <x:c r="O20" s="23" t="str"/>
      <x:c r="P20" s="23" t="str"/>
    </x:row>
    <x:row r="21">
      <x:c r="A21" s="23" t="str">
        <x:v>TC-020</x:v>
      </x:c>
      <x:c r="B21" s="23" t="str">
        <x:v>FR-002/FR-003</x:v>
      </x:c>
      <x:c r="C21" s="23" t="str">
        <x:v>仓库与目录</x:v>
      </x:c>
      <x:c r="D21" s="23" t="str">
        <x:v>集成</x:v>
      </x:c>
      <x:c r="E21" s="23" t="str">
        <x:v>分卷编号存在两位数</x:v>
      </x:c>
      <x:c r="F21" s="23" t="str">
        <x:v>准备模拟仓库树或测试仓库</x:v>
      </x:c>
      <x:c r="G21" s="23" t="str">
        <x:v>执行目录刷新并检查结果</x:v>
      </x:c>
      <x:c r="H21" s="23" t="str">
        <x:v>按数值顺序排序，.10 不排在 .2 前</x:v>
      </x:c>
      <x:c r="I21" s="23" t="str">
        <x:v>P1</x:v>
      </x:c>
      <x:c r="J21" s="23" t="str">
        <x:v>适合自动化</x:v>
      </x:c>
      <x:c r="K21" s="23" t="str">
        <x:v>Windows+Ubuntu</x:v>
      </x:c>
      <x:c r="L21" s="23" t="str">
        <x:v>未测试</x:v>
      </x:c>
      <x:c r="M21" s="23" t="str"/>
      <x:c r="N21" s="23" t="str"/>
      <x:c r="O21" s="23" t="str"/>
      <x:c r="P21" s="23" t="str"/>
    </x:row>
    <x:row r="22">
      <x:c r="A22" s="23" t="str">
        <x:v>TC-021</x:v>
      </x:c>
      <x:c r="B22" s="23" t="str">
        <x:v>FR-002/FR-003</x:v>
      </x:c>
      <x:c r="C22" s="23" t="str">
        <x:v>仓库与目录</x:v>
      </x:c>
      <x:c r="D22" s="23" t="str">
        <x:v>集成</x:v>
      </x:c>
      <x:c r="E22" s="23" t="str">
        <x:v>分卷中间缺号</x:v>
      </x:c>
      <x:c r="F22" s="23" t="str">
        <x:v>准备模拟仓库树或测试仓库</x:v>
      </x:c>
      <x:c r="G22" s="23" t="str">
        <x:v>执行目录刷新并检查结果</x:v>
      </x:c>
      <x:c r="H22" s="23" t="str">
        <x:v>Book 标记异常，不允许进入合并</x:v>
      </x:c>
      <x:c r="I22" s="23" t="str">
        <x:v>P0</x:v>
      </x:c>
      <x:c r="J22" s="23" t="str">
        <x:v>适合自动化</x:v>
      </x:c>
      <x:c r="K22" s="23" t="str">
        <x:v>Windows+Ubuntu</x:v>
      </x:c>
      <x:c r="L22" s="23" t="str">
        <x:v>未测试</x:v>
      </x:c>
      <x:c r="M22" s="23" t="str"/>
      <x:c r="N22" s="23" t="str"/>
      <x:c r="O22" s="23" t="str"/>
      <x:c r="P22" s="23" t="str"/>
    </x:row>
    <x:row r="23">
      <x:c r="A23" s="23" t="str">
        <x:v>TC-022</x:v>
      </x:c>
      <x:c r="B23" s="23" t="str">
        <x:v>FR-002/FR-003</x:v>
      </x:c>
      <x:c r="C23" s="23" t="str">
        <x:v>仓库与目录</x:v>
      </x:c>
      <x:c r="D23" s="23" t="str">
        <x:v>集成</x:v>
      </x:c>
      <x:c r="E23" s="23" t="str">
        <x:v>同名普通 PDF 与分卷并存</x:v>
      </x:c>
      <x:c r="F23" s="23" t="str">
        <x:v>准备模拟仓库树或测试仓库</x:v>
      </x:c>
      <x:c r="G23" s="23" t="str">
        <x:v>执行目录刷新并检查结果</x:v>
      </x:c>
      <x:c r="H23" s="23" t="str">
        <x:v>识别冲突并 fail-closed</x:v>
      </x:c>
      <x:c r="I23" s="23" t="str">
        <x:v>P0</x:v>
      </x:c>
      <x:c r="J23" s="23" t="str">
        <x:v>适合自动化</x:v>
      </x:c>
      <x:c r="K23" s="23" t="str">
        <x:v>Windows+Ubuntu</x:v>
      </x:c>
      <x:c r="L23" s="23" t="str">
        <x:v>未测试</x:v>
      </x:c>
      <x:c r="M23" s="23" t="str"/>
      <x:c r="N23" s="23" t="str"/>
      <x:c r="O23" s="23" t="str"/>
      <x:c r="P23" s="23" t="str"/>
    </x:row>
    <x:row r="24">
      <x:c r="A24" s="23" t="str">
        <x:v>TC-023</x:v>
      </x:c>
      <x:c r="B24" s="23" t="str">
        <x:v>FR-002/FR-003</x:v>
      </x:c>
      <x:c r="C24" s="23" t="str">
        <x:v>仓库与目录</x:v>
      </x:c>
      <x:c r="D24" s="23" t="str">
        <x:v>集成</x:v>
      </x:c>
      <x:c r="E24" s="23" t="str">
        <x:v>中文路径与空格路径</x:v>
      </x:c>
      <x:c r="F24" s="23" t="str">
        <x:v>准备模拟仓库树或测试仓库</x:v>
      </x:c>
      <x:c r="G24" s="23" t="str">
        <x:v>执行目录刷新并检查结果</x:v>
      </x:c>
      <x:c r="H24" s="23" t="str">
        <x:v>Book ID、显示名和 Git 路径保持正确</x:v>
      </x:c>
      <x:c r="I24" s="23" t="str">
        <x:v>P1</x:v>
      </x:c>
      <x:c r="J24" s="23" t="str">
        <x:v>适合自动化</x:v>
      </x:c>
      <x:c r="K24" s="23" t="str">
        <x:v>Windows+Ubuntu</x:v>
      </x:c>
      <x:c r="L24" s="23" t="str">
        <x:v>未测试</x:v>
      </x:c>
      <x:c r="M24" s="23" t="str"/>
      <x:c r="N24" s="23" t="str"/>
      <x:c r="O24" s="23" t="str"/>
      <x:c r="P24" s="23" t="str"/>
    </x:row>
    <x:row r="25">
      <x:c r="A25" s="23" t="str">
        <x:v>TC-024</x:v>
      </x:c>
      <x:c r="B25" s="23" t="str">
        <x:v>FR-002/FR-003</x:v>
      </x:c>
      <x:c r="C25" s="23" t="str">
        <x:v>仓库与目录</x:v>
      </x:c>
      <x:c r="D25" s="23" t="str">
        <x:v>集成</x:v>
      </x:c>
      <x:c r="E25" s="23" t="str">
        <x:v>超长路径</x:v>
      </x:c>
      <x:c r="F25" s="23" t="str">
        <x:v>准备模拟仓库树或测试仓库</x:v>
      </x:c>
      <x:c r="G25" s="23" t="str">
        <x:v>执行目录刷新并检查结果</x:v>
      </x:c>
      <x:c r="H25" s="23" t="str">
        <x:v>Windows 下预检并给出路径策略，不静默失败</x:v>
      </x:c>
      <x:c r="I25" s="23" t="str">
        <x:v>P1</x:v>
      </x:c>
      <x:c r="J25" s="23" t="str">
        <x:v>适合自动化</x:v>
      </x:c>
      <x:c r="K25" s="23" t="str">
        <x:v>Windows+Ubuntu</x:v>
      </x:c>
      <x:c r="L25" s="23" t="str">
        <x:v>未测试</x:v>
      </x:c>
      <x:c r="M25" s="23" t="str"/>
      <x:c r="N25" s="23" t="str"/>
      <x:c r="O25" s="23" t="str"/>
      <x:c r="P25" s="23" t="str"/>
    </x:row>
    <x:row r="26">
      <x:c r="A26" s="23" t="str">
        <x:v>TC-025</x:v>
      </x:c>
      <x:c r="B26" s="23" t="str">
        <x:v>FR-002/FR-003</x:v>
      </x:c>
      <x:c r="C26" s="23" t="str">
        <x:v>仓库与目录</x:v>
      </x:c>
      <x:c r="D26" s="23" t="str">
        <x:v>集成</x:v>
      </x:c>
      <x:c r="E26" s="23" t="str">
        <x:v>重复 Book ID 冲突</x:v>
      </x:c>
      <x:c r="F26" s="23" t="str">
        <x:v>准备模拟仓库树或测试仓库</x:v>
      </x:c>
      <x:c r="G26" s="23" t="str">
        <x:v>执行目录刷新并检查结果</x:v>
      </x:c>
      <x:c r="H26" s="23" t="str">
        <x:v>目录构建失败并输出诊断</x:v>
      </x:c>
      <x:c r="I26" s="23" t="str">
        <x:v>P0</x:v>
      </x:c>
      <x:c r="J26" s="23" t="str">
        <x:v>适合自动化</x:v>
      </x:c>
      <x:c r="K26" s="23" t="str">
        <x:v>Windows+Ubuntu</x:v>
      </x:c>
      <x:c r="L26" s="23" t="str">
        <x:v>未测试</x:v>
      </x:c>
      <x:c r="M26" s="23" t="str"/>
      <x:c r="N26" s="23" t="str"/>
      <x:c r="O26" s="23" t="str"/>
      <x:c r="P26" s="23" t="str"/>
    </x:row>
    <x:row r="27">
      <x:c r="A27" s="23" t="str">
        <x:v>TC-026</x:v>
      </x:c>
      <x:c r="B27" s="23" t="str">
        <x:v>FR-004/FR-005/FR-006</x:v>
      </x:c>
      <x:c r="C27" s="23" t="str">
        <x:v>TUI交互</x:v>
      </x:c>
      <x:c r="D27" s="23" t="str">
        <x:v>UI</x:v>
      </x:c>
      <x:c r="E27" s="23" t="str">
        <x:v>层级顺序：学段→科目→年级→教材</x:v>
      </x:c>
      <x:c r="F27" s="23" t="str">
        <x:v>应用已加载测试目录</x:v>
      </x:c>
      <x:c r="G27" s="23" t="str">
        <x:v>按指定键或调整终端并观察</x:v>
      </x:c>
      <x:c r="H27" s="23" t="str">
        <x:v>结构与需求一致</x:v>
      </x:c>
      <x:c r="I27" s="23" t="str">
        <x:v>P0</x:v>
      </x:c>
      <x:c r="J27" s="23" t="str">
        <x:v>部分自动化</x:v>
      </x:c>
      <x:c r="K27" s="23" t="str">
        <x:v>Windows+Ubuntu</x:v>
      </x:c>
      <x:c r="L27" s="23" t="str">
        <x:v>未测试</x:v>
      </x:c>
      <x:c r="M27" s="23" t="str"/>
      <x:c r="N27" s="23" t="str"/>
      <x:c r="O27" s="23" t="str"/>
      <x:c r="P27" s="23" t="str"/>
    </x:row>
    <x:row r="28">
      <x:c r="A28" s="23" t="str">
        <x:v>TC-027</x:v>
      </x:c>
      <x:c r="B28" s="23" t="str">
        <x:v>FR-004/FR-005/FR-006</x:v>
      </x:c>
      <x:c r="C28" s="23" t="str">
        <x:v>TUI交互</x:v>
      </x:c>
      <x:c r="D28" s="23" t="str">
        <x:v>UI</x:v>
      </x:c>
      <x:c r="E28" s="23" t="str">
        <x:v>↑↓移动焦点</x:v>
      </x:c>
      <x:c r="F28" s="23" t="str">
        <x:v>应用已加载测试目录</x:v>
      </x:c>
      <x:c r="G28" s="23" t="str">
        <x:v>按指定键或调整终端并观察</x:v>
      </x:c>
      <x:c r="H28" s="23" t="str">
        <x:v>逐项移动且不跳项</x:v>
      </x:c>
      <x:c r="I28" s="23" t="str">
        <x:v>P1</x:v>
      </x:c>
      <x:c r="J28" s="23" t="str">
        <x:v>部分自动化</x:v>
      </x:c>
      <x:c r="K28" s="23" t="str">
        <x:v>Windows+Ubuntu</x:v>
      </x:c>
      <x:c r="L28" s="23" t="str">
        <x:v>未测试</x:v>
      </x:c>
      <x:c r="M28" s="23" t="str"/>
      <x:c r="N28" s="23" t="str"/>
      <x:c r="O28" s="23" t="str"/>
      <x:c r="P28" s="23" t="str"/>
    </x:row>
    <x:row r="29">
      <x:c r="A29" s="23" t="str">
        <x:v>TC-028</x:v>
      </x:c>
      <x:c r="B29" s="23" t="str">
        <x:v>FR-004/FR-005/FR-006</x:v>
      </x:c>
      <x:c r="C29" s="23" t="str">
        <x:v>TUI交互</x:v>
      </x:c>
      <x:c r="D29" s="23" t="str">
        <x:v>UI</x:v>
      </x:c>
      <x:c r="E29" s="23" t="str">
        <x:v>← 收起节点</x:v>
      </x:c>
      <x:c r="F29" s="23" t="str">
        <x:v>应用已加载测试目录</x:v>
      </x:c>
      <x:c r="G29" s="23" t="str">
        <x:v>按指定键或调整终端并观察</x:v>
      </x:c>
      <x:c r="H29" s="23" t="str">
        <x:v>展开节点被收起</x:v>
      </x:c>
      <x:c r="I29" s="23" t="str">
        <x:v>P1</x:v>
      </x:c>
      <x:c r="J29" s="23" t="str">
        <x:v>部分自动化</x:v>
      </x:c>
      <x:c r="K29" s="23" t="str">
        <x:v>Windows+Ubuntu</x:v>
      </x:c>
      <x:c r="L29" s="23" t="str">
        <x:v>未测试</x:v>
      </x:c>
      <x:c r="M29" s="23" t="str"/>
      <x:c r="N29" s="23" t="str"/>
      <x:c r="O29" s="23" t="str"/>
      <x:c r="P29" s="23" t="str"/>
    </x:row>
    <x:row r="30">
      <x:c r="A30" s="23" t="str">
        <x:v>TC-029</x:v>
      </x:c>
      <x:c r="B30" s="23" t="str">
        <x:v>FR-004/FR-005/FR-006</x:v>
      </x:c>
      <x:c r="C30" s="23" t="str">
        <x:v>TUI交互</x:v>
      </x:c>
      <x:c r="D30" s="23" t="str">
        <x:v>UI</x:v>
      </x:c>
      <x:c r="E30" s="23" t="str">
        <x:v>← 在已收起节点</x:v>
      </x:c>
      <x:c r="F30" s="23" t="str">
        <x:v>应用已加载测试目录</x:v>
      </x:c>
      <x:c r="G30" s="23" t="str">
        <x:v>按指定键或调整终端并观察</x:v>
      </x:c>
      <x:c r="H30" s="23" t="str">
        <x:v>焦点移至父节点</x:v>
      </x:c>
      <x:c r="I30" s="23" t="str">
        <x:v>P1</x:v>
      </x:c>
      <x:c r="J30" s="23" t="str">
        <x:v>部分自动化</x:v>
      </x:c>
      <x:c r="K30" s="23" t="str">
        <x:v>Windows+Ubuntu</x:v>
      </x:c>
      <x:c r="L30" s="23" t="str">
        <x:v>未测试</x:v>
      </x:c>
      <x:c r="M30" s="23" t="str"/>
      <x:c r="N30" s="23" t="str"/>
      <x:c r="O30" s="23" t="str"/>
      <x:c r="P30" s="23" t="str"/>
    </x:row>
    <x:row r="31">
      <x:c r="A31" s="23" t="str">
        <x:v>TC-030</x:v>
      </x:c>
      <x:c r="B31" s="23" t="str">
        <x:v>FR-004/FR-005/FR-006</x:v>
      </x:c>
      <x:c r="C31" s="23" t="str">
        <x:v>TUI交互</x:v>
      </x:c>
      <x:c r="D31" s="23" t="str">
        <x:v>UI</x:v>
      </x:c>
      <x:c r="E31" s="23" t="str">
        <x:v>→ 展开节点</x:v>
      </x:c>
      <x:c r="F31" s="23" t="str">
        <x:v>应用已加载测试目录</x:v>
      </x:c>
      <x:c r="G31" s="23" t="str">
        <x:v>按指定键或调整终端并观察</x:v>
      </x:c>
      <x:c r="H31" s="23" t="str">
        <x:v>子节点可见</x:v>
      </x:c>
      <x:c r="I31" s="23" t="str">
        <x:v>P1</x:v>
      </x:c>
      <x:c r="J31" s="23" t="str">
        <x:v>部分自动化</x:v>
      </x:c>
      <x:c r="K31" s="23" t="str">
        <x:v>Windows+Ubuntu</x:v>
      </x:c>
      <x:c r="L31" s="23" t="str">
        <x:v>未测试</x:v>
      </x:c>
      <x:c r="M31" s="23" t="str"/>
      <x:c r="N31" s="23" t="str"/>
      <x:c r="O31" s="23" t="str"/>
      <x:c r="P31" s="23" t="str"/>
    </x:row>
    <x:row r="32">
      <x:c r="A32" s="23" t="str">
        <x:v>TC-031</x:v>
      </x:c>
      <x:c r="B32" s="23" t="str">
        <x:v>FR-004/FR-005/FR-006</x:v>
      </x:c>
      <x:c r="C32" s="23" t="str">
        <x:v>TUI交互</x:v>
      </x:c>
      <x:c r="D32" s="23" t="str">
        <x:v>UI</x:v>
      </x:c>
      <x:c r="E32" s="23" t="str">
        <x:v>Space 选择教材</x:v>
      </x:c>
      <x:c r="F32" s="23" t="str">
        <x:v>应用已加载测试目录</x:v>
      </x:c>
      <x:c r="G32" s="23" t="str">
        <x:v>按指定键或调整终端并观察</x:v>
      </x:c>
      <x:c r="H32" s="23" t="str">
        <x:v>教材勾选且摘要数量增加</x:v>
      </x:c>
      <x:c r="I32" s="23" t="str">
        <x:v>P0</x:v>
      </x:c>
      <x:c r="J32" s="23" t="str">
        <x:v>部分自动化</x:v>
      </x:c>
      <x:c r="K32" s="23" t="str">
        <x:v>Windows+Ubuntu</x:v>
      </x:c>
      <x:c r="L32" s="23" t="str">
        <x:v>未测试</x:v>
      </x:c>
      <x:c r="M32" s="23" t="str"/>
      <x:c r="N32" s="23" t="str"/>
      <x:c r="O32" s="23" t="str"/>
      <x:c r="P32" s="23" t="str"/>
    </x:row>
    <x:row r="33">
      <x:c r="A33" s="23" t="str">
        <x:v>TC-032</x:v>
      </x:c>
      <x:c r="B33" s="23" t="str">
        <x:v>FR-004/FR-005/FR-006</x:v>
      </x:c>
      <x:c r="C33" s="23" t="str">
        <x:v>TUI交互</x:v>
      </x:c>
      <x:c r="D33" s="23" t="str">
        <x:v>UI</x:v>
      </x:c>
      <x:c r="E33" s="23" t="str">
        <x:v>Space 取消教材</x:v>
      </x:c>
      <x:c r="F33" s="23" t="str">
        <x:v>应用已加载测试目录</x:v>
      </x:c>
      <x:c r="G33" s="23" t="str">
        <x:v>按指定键或调整终端并观察</x:v>
      </x:c>
      <x:c r="H33" s="23" t="str">
        <x:v>勾选取消且摘要更新</x:v>
      </x:c>
      <x:c r="I33" s="23" t="str">
        <x:v>P0</x:v>
      </x:c>
      <x:c r="J33" s="23" t="str">
        <x:v>部分自动化</x:v>
      </x:c>
      <x:c r="K33" s="23" t="str">
        <x:v>Windows+Ubuntu</x:v>
      </x:c>
      <x:c r="L33" s="23" t="str">
        <x:v>未测试</x:v>
      </x:c>
      <x:c r="M33" s="23" t="str"/>
      <x:c r="N33" s="23" t="str"/>
      <x:c r="O33" s="23" t="str"/>
      <x:c r="P33" s="23" t="str"/>
    </x:row>
    <x:row r="34">
      <x:c r="A34" s="23" t="str">
        <x:v>TC-033</x:v>
      </x:c>
      <x:c r="B34" s="23" t="str">
        <x:v>FR-004/FR-005/FR-006</x:v>
      </x:c>
      <x:c r="C34" s="23" t="str">
        <x:v>TUI交互</x:v>
      </x:c>
      <x:c r="D34" s="23" t="str">
        <x:v>UI</x:v>
      </x:c>
      <x:c r="E34" s="23" t="str">
        <x:v>分类节点按 Space</x:v>
      </x:c>
      <x:c r="F34" s="23" t="str">
        <x:v>应用已加载测试目录</x:v>
      </x:c>
      <x:c r="G34" s="23" t="str">
        <x:v>按指定键或调整终端并观察</x:v>
      </x:c>
      <x:c r="H34" s="23" t="str">
        <x:v>不直接选择整类并给予明确反馈</x:v>
      </x:c>
      <x:c r="I34" s="23" t="str">
        <x:v>P1</x:v>
      </x:c>
      <x:c r="J34" s="23" t="str">
        <x:v>部分自动化</x:v>
      </x:c>
      <x:c r="K34" s="23" t="str">
        <x:v>Windows+Ubuntu</x:v>
      </x:c>
      <x:c r="L34" s="23" t="str">
        <x:v>未测试</x:v>
      </x:c>
      <x:c r="M34" s="23" t="str"/>
      <x:c r="N34" s="23" t="str"/>
      <x:c r="O34" s="23" t="str"/>
      <x:c r="P34" s="23" t="str"/>
    </x:row>
    <x:row r="35">
      <x:c r="A35" s="23" t="str">
        <x:v>TC-034</x:v>
      </x:c>
      <x:c r="B35" s="23" t="str">
        <x:v>FR-004/FR-005/FR-006</x:v>
      </x:c>
      <x:c r="C35" s="23" t="str">
        <x:v>TUI交互</x:v>
      </x:c>
      <x:c r="D35" s="23" t="str">
        <x:v>UI</x:v>
      </x:c>
      <x:c r="E35" s="23" t="str">
        <x:v>Ctrl+A 当前范围全选</x:v>
      </x:c>
      <x:c r="F35" s="23" t="str">
        <x:v>应用已加载测试目录</x:v>
      </x:c>
      <x:c r="G35" s="23" t="str">
        <x:v>按指定键或调整终端并观察</x:v>
      </x:c>
      <x:c r="H35" s="23" t="str">
        <x:v>仅当前教材范围被选中</x:v>
      </x:c>
      <x:c r="I35" s="23" t="str">
        <x:v>P0</x:v>
      </x:c>
      <x:c r="J35" s="23" t="str">
        <x:v>部分自动化</x:v>
      </x:c>
      <x:c r="K35" s="23" t="str">
        <x:v>Windows+Ubuntu</x:v>
      </x:c>
      <x:c r="L35" s="23" t="str">
        <x:v>未测试</x:v>
      </x:c>
      <x:c r="M35" s="23" t="str"/>
      <x:c r="N35" s="23" t="str"/>
      <x:c r="O35" s="23" t="str"/>
      <x:c r="P35" s="23" t="str"/>
    </x:row>
    <x:row r="36">
      <x:c r="A36" s="23" t="str">
        <x:v>TC-035</x:v>
      </x:c>
      <x:c r="B36" s="23" t="str">
        <x:v>FR-004/FR-005/FR-006</x:v>
      </x:c>
      <x:c r="C36" s="23" t="str">
        <x:v>TUI交互</x:v>
      </x:c>
      <x:c r="D36" s="23" t="str">
        <x:v>UI</x:v>
      </x:c>
      <x:c r="E36" s="23" t="str">
        <x:v>Ctrl+D 当前范围取消</x:v>
      </x:c>
      <x:c r="F36" s="23" t="str">
        <x:v>应用已加载测试目录</x:v>
      </x:c>
      <x:c r="G36" s="23" t="str">
        <x:v>按指定键或调整终端并观察</x:v>
      </x:c>
      <x:c r="H36" s="23" t="str">
        <x:v>仅当前教材范围被取消</x:v>
      </x:c>
      <x:c r="I36" s="23" t="str">
        <x:v>P0</x:v>
      </x:c>
      <x:c r="J36" s="23" t="str">
        <x:v>部分自动化</x:v>
      </x:c>
      <x:c r="K36" s="23" t="str">
        <x:v>Windows+Ubuntu</x:v>
      </x:c>
      <x:c r="L36" s="23" t="str">
        <x:v>未测试</x:v>
      </x:c>
      <x:c r="M36" s="23" t="str"/>
      <x:c r="N36" s="23" t="str"/>
      <x:c r="O36" s="23" t="str"/>
      <x:c r="P36" s="23" t="str"/>
    </x:row>
    <x:row r="37">
      <x:c r="A37" s="23" t="str">
        <x:v>TC-036</x:v>
      </x:c>
      <x:c r="B37" s="23" t="str">
        <x:v>FR-004/FR-005/FR-006</x:v>
      </x:c>
      <x:c r="C37" s="23" t="str">
        <x:v>TUI交互</x:v>
      </x:c>
      <x:c r="D37" s="23" t="str">
        <x:v>UI</x:v>
      </x:c>
      <x:c r="E37" s="23" t="str">
        <x:v>Enter 打开教材详情</x:v>
      </x:c>
      <x:c r="F37" s="23" t="str">
        <x:v>应用已加载测试目录</x:v>
      </x:c>
      <x:c r="G37" s="23" t="str">
        <x:v>按指定键或调整终端并观察</x:v>
      </x:c>
      <x:c r="H37" s="23" t="str">
        <x:v>详情窗口显示完整元数据</x:v>
      </x:c>
      <x:c r="I37" s="23" t="str">
        <x:v>P1</x:v>
      </x:c>
      <x:c r="J37" s="23" t="str">
        <x:v>部分自动化</x:v>
      </x:c>
      <x:c r="K37" s="23" t="str">
        <x:v>Windows+Ubuntu</x:v>
      </x:c>
      <x:c r="L37" s="23" t="str">
        <x:v>未测试</x:v>
      </x:c>
      <x:c r="M37" s="23" t="str"/>
      <x:c r="N37" s="23" t="str"/>
      <x:c r="O37" s="23" t="str"/>
      <x:c r="P37" s="23" t="str"/>
    </x:row>
    <x:row r="38">
      <x:c r="A38" s="23" t="str">
        <x:v>TC-037</x:v>
      </x:c>
      <x:c r="B38" s="23" t="str">
        <x:v>FR-004/FR-005/FR-006</x:v>
      </x:c>
      <x:c r="C38" s="23" t="str">
        <x:v>TUI交互</x:v>
      </x:c>
      <x:c r="D38" s="23" t="str">
        <x:v>UI</x:v>
      </x:c>
      <x:c r="E38" s="23" t="str">
        <x:v>Esc 关闭浮层</x:v>
      </x:c>
      <x:c r="F38" s="23" t="str">
        <x:v>应用已加载测试目录</x:v>
      </x:c>
      <x:c r="G38" s="23" t="str">
        <x:v>按指定键或调整终端并观察</x:v>
      </x:c>
      <x:c r="H38" s="23" t="str">
        <x:v>返回前一界面，不误退出应用</x:v>
      </x:c>
      <x:c r="I38" s="23" t="str">
        <x:v>P1</x:v>
      </x:c>
      <x:c r="J38" s="23" t="str">
        <x:v>部分自动化</x:v>
      </x:c>
      <x:c r="K38" s="23" t="str">
        <x:v>Windows+Ubuntu</x:v>
      </x:c>
      <x:c r="L38" s="23" t="str">
        <x:v>未测试</x:v>
      </x:c>
      <x:c r="M38" s="23" t="str"/>
      <x:c r="N38" s="23" t="str"/>
      <x:c r="O38" s="23" t="str"/>
      <x:c r="P38" s="23" t="str"/>
    </x:row>
    <x:row r="39">
      <x:c r="A39" s="23" t="str">
        <x:v>TC-038</x:v>
      </x:c>
      <x:c r="B39" s="23" t="str">
        <x:v>FR-004/FR-005/FR-006</x:v>
      </x:c>
      <x:c r="C39" s="23" t="str">
        <x:v>TUI交互</x:v>
      </x:c>
      <x:c r="D39" s="23" t="str">
        <x:v>UI</x:v>
      </x:c>
      <x:c r="E39" s="23" t="str">
        <x:v>Q 无任务时退出</x:v>
      </x:c>
      <x:c r="F39" s="23" t="str">
        <x:v>应用已加载测试目录</x:v>
      </x:c>
      <x:c r="G39" s="23" t="str">
        <x:v>按指定键或调整终端并观察</x:v>
      </x:c>
      <x:c r="H39" s="23" t="str">
        <x:v>保存状态后正常退出</x:v>
      </x:c>
      <x:c r="I39" s="23" t="str">
        <x:v>P1</x:v>
      </x:c>
      <x:c r="J39" s="23" t="str">
        <x:v>部分自动化</x:v>
      </x:c>
      <x:c r="K39" s="23" t="str">
        <x:v>Windows+Ubuntu</x:v>
      </x:c>
      <x:c r="L39" s="23" t="str">
        <x:v>未测试</x:v>
      </x:c>
      <x:c r="M39" s="23" t="str"/>
      <x:c r="N39" s="23" t="str"/>
      <x:c r="O39" s="23" t="str"/>
      <x:c r="P39" s="23" t="str"/>
    </x:row>
    <x:row r="40">
      <x:c r="A40" s="23" t="str">
        <x:v>TC-039</x:v>
      </x:c>
      <x:c r="B40" s="23" t="str">
        <x:v>FR-004/FR-005/FR-006</x:v>
      </x:c>
      <x:c r="C40" s="23" t="str">
        <x:v>TUI交互</x:v>
      </x:c>
      <x:c r="D40" s="23" t="str">
        <x:v>UI</x:v>
      </x:c>
      <x:c r="E40" s="23" t="str">
        <x:v>Q 有任务时退出</x:v>
      </x:c>
      <x:c r="F40" s="23" t="str">
        <x:v>应用已加载测试目录</x:v>
      </x:c>
      <x:c r="G40" s="23" t="str">
        <x:v>按指定键或调整终端并观察</x:v>
      </x:c>
      <x:c r="H40" s="23" t="str">
        <x:v>出现安全退出确认，不直接杀死任务</x:v>
      </x:c>
      <x:c r="I40" s="23" t="str">
        <x:v>P0</x:v>
      </x:c>
      <x:c r="J40" s="23" t="str">
        <x:v>部分自动化</x:v>
      </x:c>
      <x:c r="K40" s="23" t="str">
        <x:v>Windows+Ubuntu</x:v>
      </x:c>
      <x:c r="L40" s="23" t="str">
        <x:v>未测试</x:v>
      </x:c>
      <x:c r="M40" s="23" t="str"/>
      <x:c r="N40" s="23" t="str"/>
      <x:c r="O40" s="23" t="str"/>
      <x:c r="P40" s="23" t="str"/>
    </x:row>
    <x:row r="41">
      <x:c r="A41" s="23" t="str">
        <x:v>TC-040</x:v>
      </x:c>
      <x:c r="B41" s="23" t="str">
        <x:v>FR-004/FR-005/FR-006</x:v>
      </x:c>
      <x:c r="C41" s="23" t="str">
        <x:v>TUI交互</x:v>
      </x:c>
      <x:c r="D41" s="23" t="str">
        <x:v>UI</x:v>
      </x:c>
      <x:c r="E41" s="23" t="str">
        <x:v>F1 打开帮助</x:v>
      </x:c>
      <x:c r="F41" s="23" t="str">
        <x:v>应用已加载测试目录</x:v>
      </x:c>
      <x:c r="G41" s="23" t="str">
        <x:v>按指定键或调整终端并观察</x:v>
      </x:c>
      <x:c r="H41" s="23" t="str">
        <x:v>任务运行中也可打开</x:v>
      </x:c>
      <x:c r="I41" s="23" t="str">
        <x:v>P1</x:v>
      </x:c>
      <x:c r="J41" s="23" t="str">
        <x:v>部分自动化</x:v>
      </x:c>
      <x:c r="K41" s="23" t="str">
        <x:v>Windows+Ubuntu</x:v>
      </x:c>
      <x:c r="L41" s="23" t="str">
        <x:v>未测试</x:v>
      </x:c>
      <x:c r="M41" s="23" t="str"/>
      <x:c r="N41" s="23" t="str"/>
      <x:c r="O41" s="23" t="str"/>
      <x:c r="P41" s="23" t="str"/>
    </x:row>
    <x:row r="42">
      <x:c r="A42" s="23" t="str">
        <x:v>TC-041</x:v>
      </x:c>
      <x:c r="B42" s="23" t="str">
        <x:v>FR-004/FR-005/FR-006</x:v>
      </x:c>
      <x:c r="C42" s="23" t="str">
        <x:v>TUI交互</x:v>
      </x:c>
      <x:c r="D42" s="23" t="str">
        <x:v>UI</x:v>
      </x:c>
      <x:c r="E42" s="23" t="str">
        <x:v>F2 打开已选教材</x:v>
      </x:c>
      <x:c r="F42" s="23" t="str">
        <x:v>应用已加载测试目录</x:v>
      </x:c>
      <x:c r="G42" s="23" t="str">
        <x:v>按指定键或调整终端并观察</x:v>
      </x:c>
      <x:c r="H42" s="23" t="str">
        <x:v>显示书数、源文件数和预计大小</x:v>
      </x:c>
      <x:c r="I42" s="23" t="str">
        <x:v>P1</x:v>
      </x:c>
      <x:c r="J42" s="23" t="str">
        <x:v>部分自动化</x:v>
      </x:c>
      <x:c r="K42" s="23" t="str">
        <x:v>Windows+Ubuntu</x:v>
      </x:c>
      <x:c r="L42" s="23" t="str">
        <x:v>未测试</x:v>
      </x:c>
      <x:c r="M42" s="23" t="str"/>
      <x:c r="N42" s="23" t="str"/>
      <x:c r="O42" s="23" t="str"/>
      <x:c r="P42" s="23" t="str"/>
    </x:row>
    <x:row r="43">
      <x:c r="A43" s="23" t="str">
        <x:v>TC-042</x:v>
      </x:c>
      <x:c r="B43" s="23" t="str">
        <x:v>FR-004/FR-005/FR-006</x:v>
      </x:c>
      <x:c r="C43" s="23" t="str">
        <x:v>TUI交互</x:v>
      </x:c>
      <x:c r="D43" s="23" t="str">
        <x:v>UI</x:v>
      </x:c>
      <x:c r="E43" s="23" t="str">
        <x:v>F5 无选择时</x:v>
      </x:c>
      <x:c r="F43" s="23" t="str">
        <x:v>应用已加载测试目录</x:v>
      </x:c>
      <x:c r="G43" s="23" t="str">
        <x:v>按指定键或调整终端并观察</x:v>
      </x:c>
      <x:c r="H43" s="23" t="str">
        <x:v>提示尚未选择教材，不创建任务</x:v>
      </x:c>
      <x:c r="I43" s="23" t="str">
        <x:v>P0</x:v>
      </x:c>
      <x:c r="J43" s="23" t="str">
        <x:v>部分自动化</x:v>
      </x:c>
      <x:c r="K43" s="23" t="str">
        <x:v>Windows+Ubuntu</x:v>
      </x:c>
      <x:c r="L43" s="23" t="str">
        <x:v>未测试</x:v>
      </x:c>
      <x:c r="M43" s="23" t="str"/>
      <x:c r="N43" s="23" t="str"/>
      <x:c r="O43" s="23" t="str"/>
      <x:c r="P43" s="23" t="str"/>
    </x:row>
    <x:row r="44">
      <x:c r="A44" s="23" t="str">
        <x:v>TC-043</x:v>
      </x:c>
      <x:c r="B44" s="23" t="str">
        <x:v>FR-004/FR-005/FR-006</x:v>
      </x:c>
      <x:c r="C44" s="23" t="str">
        <x:v>TUI交互</x:v>
      </x:c>
      <x:c r="D44" s="23" t="str">
        <x:v>UI</x:v>
      </x:c>
      <x:c r="E44" s="23" t="str">
        <x:v>F6 打开任务中心</x:v>
      </x:c>
      <x:c r="F44" s="23" t="str">
        <x:v>应用已加载测试目录</x:v>
      </x:c>
      <x:c r="G44" s="23" t="str">
        <x:v>按指定键或调整终端并观察</x:v>
      </x:c>
      <x:c r="H44" s="23" t="str">
        <x:v>显示任务状态和阶段</x:v>
      </x:c>
      <x:c r="I44" s="23" t="str">
        <x:v>P1</x:v>
      </x:c>
      <x:c r="J44" s="23" t="str">
        <x:v>部分自动化</x:v>
      </x:c>
      <x:c r="K44" s="23" t="str">
        <x:v>Windows+Ubuntu</x:v>
      </x:c>
      <x:c r="L44" s="23" t="str">
        <x:v>未测试</x:v>
      </x:c>
      <x:c r="M44" s="23" t="str"/>
      <x:c r="N44" s="23" t="str"/>
      <x:c r="O44" s="23" t="str"/>
      <x:c r="P44" s="23" t="str"/>
    </x:row>
    <x:row r="45">
      <x:c r="A45" s="23" t="str">
        <x:v>TC-044</x:v>
      </x:c>
      <x:c r="B45" s="23" t="str">
        <x:v>FR-004/FR-005/FR-006</x:v>
      </x:c>
      <x:c r="C45" s="23" t="str">
        <x:v>TUI交互</x:v>
      </x:c>
      <x:c r="D45" s="23" t="str">
        <x:v>UI</x:v>
      </x:c>
      <x:c r="E45" s="23" t="str">
        <x:v>F8 打开日志</x:v>
      </x:c>
      <x:c r="F45" s="23" t="str">
        <x:v>应用已加载测试目录</x:v>
      </x:c>
      <x:c r="G45" s="23" t="str">
        <x:v>按指定键或调整终端并观察</x:v>
      </x:c>
      <x:c r="H45" s="23" t="str">
        <x:v>日志持续更新且 UI 不冻结</x:v>
      </x:c>
      <x:c r="I45" s="23" t="str">
        <x:v>P1</x:v>
      </x:c>
      <x:c r="J45" s="23" t="str">
        <x:v>部分自动化</x:v>
      </x:c>
      <x:c r="K45" s="23" t="str">
        <x:v>Windows+Ubuntu</x:v>
      </x:c>
      <x:c r="L45" s="23" t="str">
        <x:v>未测试</x:v>
      </x:c>
      <x:c r="M45" s="23" t="str"/>
      <x:c r="N45" s="23" t="str"/>
      <x:c r="O45" s="23" t="str"/>
      <x:c r="P45" s="23" t="str"/>
    </x:row>
    <x:row r="46">
      <x:c r="A46" s="23" t="str">
        <x:v>TC-045</x:v>
      </x:c>
      <x:c r="B46" s="23" t="str">
        <x:v>FR-004/FR-005/FR-006</x:v>
      </x:c>
      <x:c r="C46" s="23" t="str">
        <x:v>TUI交互</x:v>
      </x:c>
      <x:c r="D46" s="23" t="str">
        <x:v>UI</x:v>
      </x:c>
      <x:c r="E46" s="23" t="str">
        <x:v>F9 检查更新</x:v>
      </x:c>
      <x:c r="F46" s="23" t="str">
        <x:v>应用已加载测试目录</x:v>
      </x:c>
      <x:c r="G46" s="23" t="str">
        <x:v>按指定键或调整终端并观察</x:v>
      </x:c>
      <x:c r="H46" s="23" t="str">
        <x:v>创建后台更新检查任务</x:v>
      </x:c>
      <x:c r="I46" s="23" t="str">
        <x:v>P1</x:v>
      </x:c>
      <x:c r="J46" s="23" t="str">
        <x:v>部分自动化</x:v>
      </x:c>
      <x:c r="K46" s="23" t="str">
        <x:v>Windows+Ubuntu</x:v>
      </x:c>
      <x:c r="L46" s="23" t="str">
        <x:v>未测试</x:v>
      </x:c>
      <x:c r="M46" s="23" t="str"/>
      <x:c r="N46" s="23" t="str"/>
      <x:c r="O46" s="23" t="str"/>
      <x:c r="P46" s="23" t="str"/>
    </x:row>
    <x:row r="47">
      <x:c r="A47" s="23" t="str">
        <x:v>TC-046</x:v>
      </x:c>
      <x:c r="B47" s="23" t="str">
        <x:v>FR-004/FR-005/FR-006</x:v>
      </x:c>
      <x:c r="C47" s="23" t="str">
        <x:v>TUI交互</x:v>
      </x:c>
      <x:c r="D47" s="23" t="str">
        <x:v>UI</x:v>
      </x:c>
      <x:c r="E47" s="23" t="str">
        <x:v>终端宽度 120 列</x:v>
      </x:c>
      <x:c r="F47" s="23" t="str">
        <x:v>应用已加载测试目录</x:v>
      </x:c>
      <x:c r="G47" s="23" t="str">
        <x:v>按指定键或调整终端并观察</x:v>
      </x:c>
      <x:c r="H47" s="23" t="str">
        <x:v>三栏布局完整</x:v>
      </x:c>
      <x:c r="I47" s="23" t="str">
        <x:v>P0</x:v>
      </x:c>
      <x:c r="J47" s="23" t="str">
        <x:v>部分自动化</x:v>
      </x:c>
      <x:c r="K47" s="23" t="str">
        <x:v>Windows+Ubuntu</x:v>
      </x:c>
      <x:c r="L47" s="23" t="str">
        <x:v>未测试</x:v>
      </x:c>
      <x:c r="M47" s="23" t="str"/>
      <x:c r="N47" s="23" t="str"/>
      <x:c r="O47" s="23" t="str"/>
      <x:c r="P47" s="23" t="str"/>
    </x:row>
    <x:row r="48">
      <x:c r="A48" s="23" t="str">
        <x:v>TC-047</x:v>
      </x:c>
      <x:c r="B48" s="23" t="str">
        <x:v>FR-004/FR-005/FR-006</x:v>
      </x:c>
      <x:c r="C48" s="23" t="str">
        <x:v>TUI交互</x:v>
      </x:c>
      <x:c r="D48" s="23" t="str">
        <x:v>UI</x:v>
      </x:c>
      <x:c r="E48" s="23" t="str">
        <x:v>终端宽度 85 列</x:v>
      </x:c>
      <x:c r="F48" s="23" t="str">
        <x:v>应用已加载测试目录</x:v>
      </x:c>
      <x:c r="G48" s="23" t="str">
        <x:v>按指定键或调整终端并观察</x:v>
      </x:c>
      <x:c r="H48" s="23" t="str">
        <x:v>自动切换双栏，无重叠</x:v>
      </x:c>
      <x:c r="I48" s="23" t="str">
        <x:v>P0</x:v>
      </x:c>
      <x:c r="J48" s="23" t="str">
        <x:v>部分自动化</x:v>
      </x:c>
      <x:c r="K48" s="23" t="str">
        <x:v>Windows+Ubuntu</x:v>
      </x:c>
      <x:c r="L48" s="23" t="str">
        <x:v>未测试</x:v>
      </x:c>
      <x:c r="M48" s="23" t="str"/>
      <x:c r="N48" s="23" t="str"/>
      <x:c r="O48" s="23" t="str"/>
      <x:c r="P48" s="23" t="str"/>
    </x:row>
    <x:row r="49">
      <x:c r="A49" s="23" t="str">
        <x:v>TC-048</x:v>
      </x:c>
      <x:c r="B49" s="23" t="str">
        <x:v>FR-004/FR-005/FR-006</x:v>
      </x:c>
      <x:c r="C49" s="23" t="str">
        <x:v>TUI交互</x:v>
      </x:c>
      <x:c r="D49" s="23" t="str">
        <x:v>UI</x:v>
      </x:c>
      <x:c r="E49" s="23" t="str">
        <x:v>终端宽度极窄</x:v>
      </x:c>
      <x:c r="F49" s="23" t="str">
        <x:v>应用已加载测试目录</x:v>
      </x:c>
      <x:c r="G49" s="23" t="str">
        <x:v>按指定键或调整终端并观察</x:v>
      </x:c>
      <x:c r="H49" s="23" t="str">
        <x:v>显示最小尺寸提示或降级布局</x:v>
      </x:c>
      <x:c r="I49" s="23" t="str">
        <x:v>P1</x:v>
      </x:c>
      <x:c r="J49" s="23" t="str">
        <x:v>部分自动化</x:v>
      </x:c>
      <x:c r="K49" s="23" t="str">
        <x:v>Windows+Ubuntu</x:v>
      </x:c>
      <x:c r="L49" s="23" t="str">
        <x:v>未测试</x:v>
      </x:c>
      <x:c r="M49" s="23" t="str"/>
      <x:c r="N49" s="23" t="str"/>
      <x:c r="O49" s="23" t="str"/>
      <x:c r="P49" s="23" t="str"/>
    </x:row>
    <x:row r="50">
      <x:c r="A50" s="23" t="str">
        <x:v>TC-049</x:v>
      </x:c>
      <x:c r="B50" s="23" t="str">
        <x:v>FR-004/FR-005/FR-006</x:v>
      </x:c>
      <x:c r="C50" s="23" t="str">
        <x:v>TUI交互</x:v>
      </x:c>
      <x:c r="D50" s="23" t="str">
        <x:v>UI</x:v>
      </x:c>
      <x:c r="E50" s="23" t="str">
        <x:v>鼠标点击列表项</x:v>
      </x:c>
      <x:c r="F50" s="23" t="str">
        <x:v>应用已加载测试目录</x:v>
      </x:c>
      <x:c r="G50" s="23" t="str">
        <x:v>按指定键或调整终端并观察</x:v>
      </x:c>
      <x:c r="H50" s="23" t="str">
        <x:v>焦点和详情同步更新</x:v>
      </x:c>
      <x:c r="I50" s="23" t="str">
        <x:v>P1</x:v>
      </x:c>
      <x:c r="J50" s="23" t="str">
        <x:v>部分自动化</x:v>
      </x:c>
      <x:c r="K50" s="23" t="str">
        <x:v>Windows+Ubuntu</x:v>
      </x:c>
      <x:c r="L50" s="23" t="str">
        <x:v>未测试</x:v>
      </x:c>
      <x:c r="M50" s="23" t="str"/>
      <x:c r="N50" s="23" t="str"/>
      <x:c r="O50" s="23" t="str"/>
      <x:c r="P50" s="23" t="str"/>
    </x:row>
    <x:row r="51">
      <x:c r="A51" s="23" t="str">
        <x:v>TC-050</x:v>
      </x:c>
      <x:c r="B51" s="23" t="str">
        <x:v>FR-004/FR-005/FR-006</x:v>
      </x:c>
      <x:c r="C51" s="23" t="str">
        <x:v>TUI交互</x:v>
      </x:c>
      <x:c r="D51" s="23" t="str">
        <x:v>UI</x:v>
      </x:c>
      <x:c r="E51" s="23" t="str">
        <x:v>窗口调整尺寸</x:v>
      </x:c>
      <x:c r="F51" s="23" t="str">
        <x:v>应用已加载测试目录</x:v>
      </x:c>
      <x:c r="G51" s="23" t="str">
        <x:v>按指定键或调整终端并观察</x:v>
      </x:c>
      <x:c r="H51" s="23" t="str">
        <x:v>布局平滑重排，选择状态不丢失</x:v>
      </x:c>
      <x:c r="I51" s="23" t="str">
        <x:v>P1</x:v>
      </x:c>
      <x:c r="J51" s="23" t="str">
        <x:v>部分自动化</x:v>
      </x:c>
      <x:c r="K51" s="23" t="str">
        <x:v>Windows+Ubuntu</x:v>
      </x:c>
      <x:c r="L51" s="23" t="str">
        <x:v>未测试</x:v>
      </x:c>
      <x:c r="M51" s="23" t="str"/>
      <x:c r="N51" s="23" t="str"/>
      <x:c r="O51" s="23" t="str"/>
      <x:c r="P51" s="23" t="str"/>
    </x:row>
    <x:row r="52">
      <x:c r="A52" s="23" t="str">
        <x:v>TC-051</x:v>
      </x:c>
      <x:c r="B52" s="23" t="str">
        <x:v>FR-007</x:v>
      </x:c>
      <x:c r="C52" s="23" t="str">
        <x:v>搜索</x:v>
      </x:c>
      <x:c r="D52" s="23" t="str">
        <x:v>组件/性能</x:v>
      </x:c>
      <x:c r="E52" s="23" t="str">
        <x:v>单关键词搜索</x:v>
      </x:c>
      <x:c r="F52" s="23" t="str">
        <x:v>已加载包含多种书名的目录</x:v>
      </x:c>
      <x:c r="G52" s="23" t="str">
        <x:v>打开 / 搜索并执行场景</x:v>
      </x:c>
      <x:c r="H52" s="23" t="str">
        <x:v>实时显示匹配教材</x:v>
      </x:c>
      <x:c r="I52" s="23" t="str">
        <x:v>P1</x:v>
      </x:c>
      <x:c r="J52" s="23" t="str">
        <x:v>适合自动化</x:v>
      </x:c>
      <x:c r="K52" s="23" t="str">
        <x:v>Windows+Ubuntu</x:v>
      </x:c>
      <x:c r="L52" s="23" t="str">
        <x:v>未测试</x:v>
      </x:c>
      <x:c r="M52" s="23" t="str"/>
      <x:c r="N52" s="23" t="str"/>
      <x:c r="O52" s="23" t="str"/>
      <x:c r="P52" s="23" t="str"/>
    </x:row>
    <x:row r="53">
      <x:c r="A53" s="23" t="str">
        <x:v>TC-052</x:v>
      </x:c>
      <x:c r="B53" s="23" t="str">
        <x:v>FR-007</x:v>
      </x:c>
      <x:c r="C53" s="23" t="str">
        <x:v>搜索</x:v>
      </x:c>
      <x:c r="D53" s="23" t="str">
        <x:v>组件/性能</x:v>
      </x:c>
      <x:c r="E53" s="23" t="str">
        <x:v>多关键词 AND 搜索</x:v>
      </x:c>
      <x:c r="F53" s="23" t="str">
        <x:v>已加载包含多种书名的目录</x:v>
      </x:c>
      <x:c r="G53" s="23" t="str">
        <x:v>打开 / 搜索并执行场景</x:v>
      </x:c>
      <x:c r="H53" s="23" t="str">
        <x:v>仅显示同时包含所有关键词的教材</x:v>
      </x:c>
      <x:c r="I53" s="23" t="str">
        <x:v>P1</x:v>
      </x:c>
      <x:c r="J53" s="23" t="str">
        <x:v>适合自动化</x:v>
      </x:c>
      <x:c r="K53" s="23" t="str">
        <x:v>Windows+Ubuntu</x:v>
      </x:c>
      <x:c r="L53" s="23" t="str">
        <x:v>未测试</x:v>
      </x:c>
      <x:c r="M53" s="23" t="str"/>
      <x:c r="N53" s="23" t="str"/>
      <x:c r="O53" s="23" t="str"/>
      <x:c r="P53" s="23" t="str"/>
    </x:row>
    <x:row r="54">
      <x:c r="A54" s="23" t="str">
        <x:v>TC-053</x:v>
      </x:c>
      <x:c r="B54" s="23" t="str">
        <x:v>FR-007</x:v>
      </x:c>
      <x:c r="C54" s="23" t="str">
        <x:v>搜索</x:v>
      </x:c>
      <x:c r="D54" s="23" t="str">
        <x:v>组件/性能</x:v>
      </x:c>
      <x:c r="E54" s="23" t="str">
        <x:v>中文关键词</x:v>
      </x:c>
      <x:c r="F54" s="23" t="str">
        <x:v>已加载包含多种书名的目录</x:v>
      </x:c>
      <x:c r="G54" s="23" t="str">
        <x:v>打开 / 搜索并执行场景</x:v>
      </x:c>
      <x:c r="H54" s="23" t="str">
        <x:v>匹配中文书名、科目或年级</x:v>
      </x:c>
      <x:c r="I54" s="23" t="str">
        <x:v>P1</x:v>
      </x:c>
      <x:c r="J54" s="23" t="str">
        <x:v>适合自动化</x:v>
      </x:c>
      <x:c r="K54" s="23" t="str">
        <x:v>Windows+Ubuntu</x:v>
      </x:c>
      <x:c r="L54" s="23" t="str">
        <x:v>未测试</x:v>
      </x:c>
      <x:c r="M54" s="23" t="str"/>
      <x:c r="N54" s="23" t="str"/>
      <x:c r="O54" s="23" t="str"/>
      <x:c r="P54" s="23" t="str"/>
    </x:row>
    <x:row r="55">
      <x:c r="A55" s="23" t="str">
        <x:v>TC-054</x:v>
      </x:c>
      <x:c r="B55" s="23" t="str">
        <x:v>FR-007</x:v>
      </x:c>
      <x:c r="C55" s="23" t="str">
        <x:v>搜索</x:v>
      </x:c>
      <x:c r="D55" s="23" t="str">
        <x:v>组件/性能</x:v>
      </x:c>
      <x:c r="E55" s="23" t="str">
        <x:v>英文关键词大小写</x:v>
      </x:c>
      <x:c r="F55" s="23" t="str">
        <x:v>已加载包含多种书名的目录</x:v>
      </x:c>
      <x:c r="G55" s="23" t="str">
        <x:v>打开 / 搜索并执行场景</x:v>
      </x:c>
      <x:c r="H55" s="23" t="str">
        <x:v>大小写不敏感</x:v>
      </x:c>
      <x:c r="I55" s="23" t="str">
        <x:v>P1</x:v>
      </x:c>
      <x:c r="J55" s="23" t="str">
        <x:v>适合自动化</x:v>
      </x:c>
      <x:c r="K55" s="23" t="str">
        <x:v>Windows+Ubuntu</x:v>
      </x:c>
      <x:c r="L55" s="23" t="str">
        <x:v>未测试</x:v>
      </x:c>
      <x:c r="M55" s="23" t="str"/>
      <x:c r="N55" s="23" t="str"/>
      <x:c r="O55" s="23" t="str"/>
      <x:c r="P55" s="23" t="str"/>
    </x:row>
    <x:row r="56">
      <x:c r="A56" s="23" t="str">
        <x:v>TC-055</x:v>
      </x:c>
      <x:c r="B56" s="23" t="str">
        <x:v>FR-007</x:v>
      </x:c>
      <x:c r="C56" s="23" t="str">
        <x:v>搜索</x:v>
      </x:c>
      <x:c r="D56" s="23" t="str">
        <x:v>组件/性能</x:v>
      </x:c>
      <x:c r="E56" s="23" t="str">
        <x:v>关键词前后空格</x:v>
      </x:c>
      <x:c r="F56" s="23" t="str">
        <x:v>已加载包含多种书名的目录</x:v>
      </x:c>
      <x:c r="G56" s="23" t="str">
        <x:v>打开 / 搜索并执行场景</x:v>
      </x:c>
      <x:c r="H56" s="23" t="str">
        <x:v>自动裁剪空格</x:v>
      </x:c>
      <x:c r="I56" s="23" t="str">
        <x:v>P1</x:v>
      </x:c>
      <x:c r="J56" s="23" t="str">
        <x:v>适合自动化</x:v>
      </x:c>
      <x:c r="K56" s="23" t="str">
        <x:v>Windows+Ubuntu</x:v>
      </x:c>
      <x:c r="L56" s="23" t="str">
        <x:v>未测试</x:v>
      </x:c>
      <x:c r="M56" s="23" t="str"/>
      <x:c r="N56" s="23" t="str"/>
      <x:c r="O56" s="23" t="str"/>
      <x:c r="P56" s="23" t="str"/>
    </x:row>
    <x:row r="57">
      <x:c r="A57" s="23" t="str">
        <x:v>TC-056</x:v>
      </x:c>
      <x:c r="B57" s="23" t="str">
        <x:v>FR-007</x:v>
      </x:c>
      <x:c r="C57" s="23" t="str">
        <x:v>搜索</x:v>
      </x:c>
      <x:c r="D57" s="23" t="str">
        <x:v>组件/性能</x:v>
      </x:c>
      <x:c r="E57" s="23" t="str">
        <x:v>无结果搜索</x:v>
      </x:c>
      <x:c r="F57" s="23" t="str">
        <x:v>已加载包含多种书名的目录</x:v>
      </x:c>
      <x:c r="G57" s="23" t="str">
        <x:v>打开 / 搜索并执行场景</x:v>
      </x:c>
      <x:c r="H57" s="23" t="str">
        <x:v>显示空结果提示，不改变已有选择</x:v>
      </x:c>
      <x:c r="I57" s="23" t="str">
        <x:v>P1</x:v>
      </x:c>
      <x:c r="J57" s="23" t="str">
        <x:v>适合自动化</x:v>
      </x:c>
      <x:c r="K57" s="23" t="str">
        <x:v>Windows+Ubuntu</x:v>
      </x:c>
      <x:c r="L57" s="23" t="str">
        <x:v>未测试</x:v>
      </x:c>
      <x:c r="M57" s="23" t="str"/>
      <x:c r="N57" s="23" t="str"/>
      <x:c r="O57" s="23" t="str"/>
      <x:c r="P57" s="23" t="str"/>
    </x:row>
    <x:row r="58">
      <x:c r="A58" s="23" t="str">
        <x:v>TC-057</x:v>
      </x:c>
      <x:c r="B58" s="23" t="str">
        <x:v>FR-007</x:v>
      </x:c>
      <x:c r="C58" s="23" t="str">
        <x:v>搜索</x:v>
      </x:c>
      <x:c r="D58" s="23" t="str">
        <x:v>组件/性能</x:v>
      </x:c>
      <x:c r="E58" s="23" t="str">
        <x:v>搜索结果 Space 选择</x:v>
      </x:c>
      <x:c r="F58" s="23" t="str">
        <x:v>已加载包含多种书名的目录</x:v>
      </x:c>
      <x:c r="G58" s="23" t="str">
        <x:v>打开 / 搜索并执行场景</x:v>
      </x:c>
      <x:c r="H58" s="23" t="str">
        <x:v>选择状态同步到主列表</x:v>
      </x:c>
      <x:c r="I58" s="23" t="str">
        <x:v>P1</x:v>
      </x:c>
      <x:c r="J58" s="23" t="str">
        <x:v>适合自动化</x:v>
      </x:c>
      <x:c r="K58" s="23" t="str">
        <x:v>Windows+Ubuntu</x:v>
      </x:c>
      <x:c r="L58" s="23" t="str">
        <x:v>未测试</x:v>
      </x:c>
      <x:c r="M58" s="23" t="str"/>
      <x:c r="N58" s="23" t="str"/>
      <x:c r="O58" s="23" t="str"/>
      <x:c r="P58" s="23" t="str"/>
    </x:row>
    <x:row r="59">
      <x:c r="A59" s="23" t="str">
        <x:v>TC-058</x:v>
      </x:c>
      <x:c r="B59" s="23" t="str">
        <x:v>FR-007</x:v>
      </x:c>
      <x:c r="C59" s="23" t="str">
        <x:v>搜索</x:v>
      </x:c>
      <x:c r="D59" s="23" t="str">
        <x:v>组件/性能</x:v>
      </x:c>
      <x:c r="E59" s="23" t="str">
        <x:v>搜索结果 Enter 定位</x:v>
      </x:c>
      <x:c r="F59" s="23" t="str">
        <x:v>已加载包含多种书名的目录</x:v>
      </x:c>
      <x:c r="G59" s="23" t="str">
        <x:v>打开 / 搜索并执行场景</x:v>
      </x:c>
      <x:c r="H59" s="23" t="str">
        <x:v>返回主界面并定位到教材</x:v>
      </x:c>
      <x:c r="I59" s="23" t="str">
        <x:v>P1</x:v>
      </x:c>
      <x:c r="J59" s="23" t="str">
        <x:v>适合自动化</x:v>
      </x:c>
      <x:c r="K59" s="23" t="str">
        <x:v>Windows+Ubuntu</x:v>
      </x:c>
      <x:c r="L59" s="23" t="str">
        <x:v>未测试</x:v>
      </x:c>
      <x:c r="M59" s="23" t="str"/>
      <x:c r="N59" s="23" t="str"/>
      <x:c r="O59" s="23" t="str"/>
      <x:c r="P59" s="23" t="str"/>
    </x:row>
    <x:row r="60">
      <x:c r="A60" s="23" t="str">
        <x:v>TC-059</x:v>
      </x:c>
      <x:c r="B60" s="23" t="str">
        <x:v>FR-007</x:v>
      </x:c>
      <x:c r="C60" s="23" t="str">
        <x:v>搜索</x:v>
      </x:c>
      <x:c r="D60" s="23" t="str">
        <x:v>组件/性能</x:v>
      </x:c>
      <x:c r="E60" s="23" t="str">
        <x:v>快速连续输入</x:v>
      </x:c>
      <x:c r="F60" s="23" t="str">
        <x:v>已加载包含多种书名的目录</x:v>
      </x:c>
      <x:c r="G60" s="23" t="str">
        <x:v>打开 / 搜索并执行场景</x:v>
      </x:c>
      <x:c r="H60" s="23" t="str">
        <x:v>无明显卡顿，旧结果不会覆盖新结果</x:v>
      </x:c>
      <x:c r="I60" s="23" t="str">
        <x:v>P1</x:v>
      </x:c>
      <x:c r="J60" s="23" t="str">
        <x:v>适合自动化</x:v>
      </x:c>
      <x:c r="K60" s="23" t="str">
        <x:v>Windows+Ubuntu</x:v>
      </x:c>
      <x:c r="L60" s="23" t="str">
        <x:v>未测试</x:v>
      </x:c>
      <x:c r="M60" s="23" t="str"/>
      <x:c r="N60" s="23" t="str"/>
      <x:c r="O60" s="23" t="str"/>
      <x:c r="P60" s="23" t="str"/>
    </x:row>
    <x:row r="61">
      <x:c r="A61" s="23" t="str">
        <x:v>TC-060</x:v>
      </x:c>
      <x:c r="B61" s="23" t="str">
        <x:v>FR-007</x:v>
      </x:c>
      <x:c r="C61" s="23" t="str">
        <x:v>搜索</x:v>
      </x:c>
      <x:c r="D61" s="23" t="str">
        <x:v>组件/性能</x:v>
      </x:c>
      <x:c r="E61" s="23" t="str">
        <x:v>搜索 10,000 本目录</x:v>
      </x:c>
      <x:c r="F61" s="23" t="str">
        <x:v>已加载包含多种书名的目录</x:v>
      </x:c>
      <x:c r="G61" s="23" t="str">
        <x:v>打开 / 搜索并执行场景</x:v>
      </x:c>
      <x:c r="H61" s="23" t="str">
        <x:v>结果响应达到性能目标</x:v>
      </x:c>
      <x:c r="I61" s="23" t="str">
        <x:v>P0</x:v>
      </x:c>
      <x:c r="J61" s="23" t="str">
        <x:v>适合自动化</x:v>
      </x:c>
      <x:c r="K61" s="23" t="str">
        <x:v>Windows+Ubuntu</x:v>
      </x:c>
      <x:c r="L61" s="23" t="str">
        <x:v>未测试</x:v>
      </x:c>
      <x:c r="M61" s="23" t="str"/>
      <x:c r="N61" s="23" t="str"/>
      <x:c r="O61" s="23" t="str"/>
      <x:c r="P61" s="23" t="str"/>
    </x:row>
    <x:row r="62">
      <x:c r="A62" s="23" t="str">
        <x:v>TC-061</x:v>
      </x:c>
      <x:c r="B62" s="23" t="str">
        <x:v>FR-006/FR-008/FR-020</x:v>
      </x:c>
      <x:c r="C62" s="23" t="str">
        <x:v>选择与迁移</x:v>
      </x:c>
      <x:c r="D62" s="23" t="str">
        <x:v>集成</x:v>
      </x:c>
      <x:c r="E62" s="23" t="str">
        <x:v>选择跨多个分类教材</x:v>
      </x:c>
      <x:c r="F62" s="23" t="str">
        <x:v>准备对应状态或选择集合</x:v>
      </x:c>
      <x:c r="G62" s="23" t="str">
        <x:v>执行选择、刷新或迁移</x:v>
      </x:c>
      <x:c r="H62" s="23" t="str">
        <x:v>selected_books 保留全部逻辑书目</x:v>
      </x:c>
      <x:c r="I62" s="23" t="str">
        <x:v>P1</x:v>
      </x:c>
      <x:c r="J62" s="23" t="str">
        <x:v>适合自动化</x:v>
      </x:c>
      <x:c r="K62" s="23" t="str">
        <x:v>Windows+Ubuntu</x:v>
      </x:c>
      <x:c r="L62" s="23" t="str">
        <x:v>未测试</x:v>
      </x:c>
      <x:c r="M62" s="23" t="str"/>
      <x:c r="N62" s="23" t="str"/>
      <x:c r="O62" s="23" t="str"/>
      <x:c r="P62" s="23" t="str"/>
    </x:row>
    <x:row r="63">
      <x:c r="A63" s="23" t="str">
        <x:v>TC-062</x:v>
      </x:c>
      <x:c r="B63" s="23" t="str">
        <x:v>FR-006/FR-008/FR-020</x:v>
      </x:c>
      <x:c r="C63" s="23" t="str">
        <x:v>选择与迁移</x:v>
      </x:c>
      <x:c r="D63" s="23" t="str">
        <x:v>集成</x:v>
      </x:c>
      <x:c r="E63" s="23" t="str">
        <x:v>同一本书重复选择</x:v>
      </x:c>
      <x:c r="F63" s="23" t="str">
        <x:v>准备对应状态或选择集合</x:v>
      </x:c>
      <x:c r="G63" s="23" t="str">
        <x:v>执行选择、刷新或迁移</x:v>
      </x:c>
      <x:c r="H63" s="23" t="str">
        <x:v>不会重复计数</x:v>
      </x:c>
      <x:c r="I63" s="23" t="str">
        <x:v>P1</x:v>
      </x:c>
      <x:c r="J63" s="23" t="str">
        <x:v>适合自动化</x:v>
      </x:c>
      <x:c r="K63" s="23" t="str">
        <x:v>Windows+Ubuntu</x:v>
      </x:c>
      <x:c r="L63" s="23" t="str">
        <x:v>未测试</x:v>
      </x:c>
      <x:c r="M63" s="23" t="str"/>
      <x:c r="N63" s="23" t="str"/>
      <x:c r="O63" s="23" t="str"/>
      <x:c r="P63" s="23" t="str"/>
    </x:row>
    <x:row r="64">
      <x:c r="A64" s="23" t="str">
        <x:v>TC-063</x:v>
      </x:c>
      <x:c r="B64" s="23" t="str">
        <x:v>FR-006/FR-008/FR-020</x:v>
      </x:c>
      <x:c r="C64" s="23" t="str">
        <x:v>选择与迁移</x:v>
      </x:c>
      <x:c r="D64" s="23" t="str">
        <x:v>集成</x:v>
      </x:c>
      <x:c r="E64" s="23" t="str">
        <x:v>取消后重新选择</x:v>
      </x:c>
      <x:c r="F64" s="23" t="str">
        <x:v>准备对应状态或选择集合</x:v>
      </x:c>
      <x:c r="G64" s="23" t="str">
        <x:v>执行选择、刷新或迁移</x:v>
      </x:c>
      <x:c r="H64" s="23" t="str">
        <x:v>selected_files 重新展开且指纹稳定</x:v>
      </x:c>
      <x:c r="I64" s="23" t="str">
        <x:v>P1</x:v>
      </x:c>
      <x:c r="J64" s="23" t="str">
        <x:v>适合自动化</x:v>
      </x:c>
      <x:c r="K64" s="23" t="str">
        <x:v>Windows+Ubuntu</x:v>
      </x:c>
      <x:c r="L64" s="23" t="str">
        <x:v>未测试</x:v>
      </x:c>
      <x:c r="M64" s="23" t="str"/>
      <x:c r="N64" s="23" t="str"/>
      <x:c r="O64" s="23" t="str"/>
      <x:c r="P64" s="23" t="str"/>
    </x:row>
    <x:row r="65">
      <x:c r="A65" s="23" t="str">
        <x:v>TC-064</x:v>
      </x:c>
      <x:c r="B65" s="23" t="str">
        <x:v>FR-006/FR-008/FR-020</x:v>
      </x:c>
      <x:c r="C65" s="23" t="str">
        <x:v>选择与迁移</x:v>
      </x:c>
      <x:c r="D65" s="23" t="str">
        <x:v>集成</x:v>
      </x:c>
      <x:c r="E65" s="23" t="str">
        <x:v>分卷书选择展开</x:v>
      </x:c>
      <x:c r="F65" s="23" t="str">
        <x:v>准备对应状态或选择集合</x:v>
      </x:c>
      <x:c r="G65" s="23" t="str">
        <x:v>执行选择、刷新或迁移</x:v>
      </x:c>
      <x:c r="H65" s="23" t="str">
        <x:v>selected_files 包含所有精确分卷路径</x:v>
      </x:c>
      <x:c r="I65" s="23" t="str">
        <x:v>P0</x:v>
      </x:c>
      <x:c r="J65" s="23" t="str">
        <x:v>适合自动化</x:v>
      </x:c>
      <x:c r="K65" s="23" t="str">
        <x:v>Windows+Ubuntu</x:v>
      </x:c>
      <x:c r="L65" s="23" t="str">
        <x:v>未测试</x:v>
      </x:c>
      <x:c r="M65" s="23" t="str"/>
      <x:c r="N65" s="23" t="str"/>
      <x:c r="O65" s="23" t="str"/>
      <x:c r="P65" s="23" t="str"/>
    </x:row>
    <x:row r="66">
      <x:c r="A66" s="23" t="str">
        <x:v>TC-065</x:v>
      </x:c>
      <x:c r="B66" s="23" t="str">
        <x:v>FR-006/FR-008/FR-020</x:v>
      </x:c>
      <x:c r="C66" s="23" t="str">
        <x:v>选择与迁移</x:v>
      </x:c>
      <x:c r="D66" s="23" t="str">
        <x:v>集成</x:v>
      </x:c>
      <x:c r="E66" s="23" t="str">
        <x:v>普通 PDF 选择展开</x:v>
      </x:c>
      <x:c r="F66" s="23" t="str">
        <x:v>准备对应状态或选择集合</x:v>
      </x:c>
      <x:c r="G66" s="23" t="str">
        <x:v>执行选择、刷新或迁移</x:v>
      </x:c>
      <x:c r="H66" s="23" t="str">
        <x:v>selected_files 只含该文件路径</x:v>
      </x:c>
      <x:c r="I66" s="23" t="str">
        <x:v>P0</x:v>
      </x:c>
      <x:c r="J66" s="23" t="str">
        <x:v>适合自动化</x:v>
      </x:c>
      <x:c r="K66" s="23" t="str">
        <x:v>Windows+Ubuntu</x:v>
      </x:c>
      <x:c r="L66" s="23" t="str">
        <x:v>未测试</x:v>
      </x:c>
      <x:c r="M66" s="23" t="str"/>
      <x:c r="N66" s="23" t="str"/>
      <x:c r="O66" s="23" t="str"/>
      <x:c r="P66" s="23" t="str"/>
    </x:row>
    <x:row r="67">
      <x:c r="A67" s="23" t="str">
        <x:v>TC-066</x:v>
      </x:c>
      <x:c r="B67" s="23" t="str">
        <x:v>FR-006/FR-008/FR-020</x:v>
      </x:c>
      <x:c r="C67" s="23" t="str">
        <x:v>选择与迁移</x:v>
      </x:c>
      <x:c r="D67" s="23" t="str">
        <x:v>集成</x:v>
      </x:c>
      <x:c r="E67" s="23" t="str">
        <x:v>选择顺序不同</x:v>
      </x:c>
      <x:c r="F67" s="23" t="str">
        <x:v>准备对应状态或选择集合</x:v>
      </x:c>
      <x:c r="G67" s="23" t="str">
        <x:v>执行选择、刷新或迁移</x:v>
      </x:c>
      <x:c r="H67" s="23" t="str">
        <x:v>相同文件集合产生相同选择指纹</x:v>
      </x:c>
      <x:c r="I67" s="23" t="str">
        <x:v>P0</x:v>
      </x:c>
      <x:c r="J67" s="23" t="str">
        <x:v>适合自动化</x:v>
      </x:c>
      <x:c r="K67" s="23" t="str">
        <x:v>Windows+Ubuntu</x:v>
      </x:c>
      <x:c r="L67" s="23" t="str">
        <x:v>未测试</x:v>
      </x:c>
      <x:c r="M67" s="23" t="str"/>
      <x:c r="N67" s="23" t="str"/>
      <x:c r="O67" s="23" t="str"/>
      <x:c r="P67" s="23" t="str"/>
    </x:row>
    <x:row r="68">
      <x:c r="A68" s="23" t="str">
        <x:v>TC-067</x:v>
      </x:c>
      <x:c r="B68" s="23" t="str">
        <x:v>FR-006/FR-008/FR-020</x:v>
      </x:c>
      <x:c r="C68" s="23" t="str">
        <x:v>选择与迁移</x:v>
      </x:c>
      <x:c r="D68" s="23" t="str">
        <x:v>集成</x:v>
      </x:c>
      <x:c r="E68" s="23" t="str">
        <x:v>路径大小写差异</x:v>
      </x:c>
      <x:c r="F68" s="23" t="str">
        <x:v>准备对应状态或选择集合</x:v>
      </x:c>
      <x:c r="G68" s="23" t="str">
        <x:v>执行选择、刷新或迁移</x:v>
      </x:c>
      <x:c r="H68" s="23" t="str">
        <x:v>按仓库实际路径处理，不产生错误合并</x:v>
      </x:c>
      <x:c r="I68" s="23" t="str">
        <x:v>P1</x:v>
      </x:c>
      <x:c r="J68" s="23" t="str">
        <x:v>适合自动化</x:v>
      </x:c>
      <x:c r="K68" s="23" t="str">
        <x:v>Windows+Ubuntu</x:v>
      </x:c>
      <x:c r="L68" s="23" t="str">
        <x:v>未测试</x:v>
      </x:c>
      <x:c r="M68" s="23" t="str"/>
      <x:c r="N68" s="23" t="str"/>
      <x:c r="O68" s="23" t="str"/>
      <x:c r="P68" s="23" t="str"/>
    </x:row>
    <x:row r="69">
      <x:c r="A69" s="23" t="str">
        <x:v>TC-068</x:v>
      </x:c>
      <x:c r="B69" s="23" t="str">
        <x:v>FR-006/FR-008/FR-020</x:v>
      </x:c>
      <x:c r="C69" s="23" t="str">
        <x:v>选择与迁移</x:v>
      </x:c>
      <x:c r="D69" s="23" t="str">
        <x:v>集成</x:v>
      </x:c>
      <x:c r="E69" s="23" t="str">
        <x:v>目录刷新后书目仍存在</x:v>
      </x:c>
      <x:c r="F69" s="23" t="str">
        <x:v>准备对应状态或选择集合</x:v>
      </x:c>
      <x:c r="G69" s="23" t="str">
        <x:v>执行选择、刷新或迁移</x:v>
      </x:c>
      <x:c r="H69" s="23" t="str">
        <x:v>选择保持并重新验证源路径</x:v>
      </x:c>
      <x:c r="I69" s="23" t="str">
        <x:v>P1</x:v>
      </x:c>
      <x:c r="J69" s="23" t="str">
        <x:v>适合自动化</x:v>
      </x:c>
      <x:c r="K69" s="23" t="str">
        <x:v>Windows+Ubuntu</x:v>
      </x:c>
      <x:c r="L69" s="23" t="str">
        <x:v>未测试</x:v>
      </x:c>
      <x:c r="M69" s="23" t="str"/>
      <x:c r="N69" s="23" t="str"/>
      <x:c r="O69" s="23" t="str"/>
      <x:c r="P69" s="23" t="str"/>
    </x:row>
    <x:row r="70">
      <x:c r="A70" s="23" t="str">
        <x:v>TC-069</x:v>
      </x:c>
      <x:c r="B70" s="23" t="str">
        <x:v>FR-006/FR-008/FR-020</x:v>
      </x:c>
      <x:c r="C70" s="23" t="str">
        <x:v>选择与迁移</x:v>
      </x:c>
      <x:c r="D70" s="23" t="str">
        <x:v>集成</x:v>
      </x:c>
      <x:c r="E70" s="23" t="str">
        <x:v>目录刷新后书目被删除</x:v>
      </x:c>
      <x:c r="F70" s="23" t="str">
        <x:v>准备对应状态或选择集合</x:v>
      </x:c>
      <x:c r="G70" s="23" t="str">
        <x:v>执行选择、刷新或迁移</x:v>
      </x:c>
      <x:c r="H70" s="23" t="str">
        <x:v>标记失效并要求用户确认</x:v>
      </x:c>
      <x:c r="I70" s="23" t="str">
        <x:v>P0</x:v>
      </x:c>
      <x:c r="J70" s="23" t="str">
        <x:v>适合自动化</x:v>
      </x:c>
      <x:c r="K70" s="23" t="str">
        <x:v>Windows+Ubuntu</x:v>
      </x:c>
      <x:c r="L70" s="23" t="str">
        <x:v>未测试</x:v>
      </x:c>
      <x:c r="M70" s="23" t="str"/>
      <x:c r="N70" s="23" t="str"/>
      <x:c r="O70" s="23" t="str"/>
      <x:c r="P70" s="23" t="str"/>
    </x:row>
    <x:row r="71">
      <x:c r="A71" s="23" t="str">
        <x:v>TC-070</x:v>
      </x:c>
      <x:c r="B71" s="23" t="str">
        <x:v>FR-006/FR-008/FR-020</x:v>
      </x:c>
      <x:c r="C71" s="23" t="str">
        <x:v>选择与迁移</x:v>
      </x:c>
      <x:c r="D71" s="23" t="str">
        <x:v>集成</x:v>
      </x:c>
      <x:c r="E71" s="23" t="str">
        <x:v>v1.0 目录级选择迁移</x:v>
      </x:c>
      <x:c r="F71" s="23" t="str">
        <x:v>准备对应状态或选择集合</x:v>
      </x:c>
      <x:c r="G71" s="23" t="str">
        <x:v>执行选择、刷新或迁移</x:v>
      </x:c>
      <x:c r="H71" s="23" t="str">
        <x:v>旧选择失效，groups 哈希记录保留</x:v>
      </x:c>
      <x:c r="I71" s="23" t="str">
        <x:v>P0</x:v>
      </x:c>
      <x:c r="J71" s="23" t="str">
        <x:v>适合自动化</x:v>
      </x:c>
      <x:c r="K71" s="23" t="str">
        <x:v>Windows+Ubuntu</x:v>
      </x:c>
      <x:c r="L71" s="23" t="str">
        <x:v>未测试</x:v>
      </x:c>
      <x:c r="M71" s="23" t="str"/>
      <x:c r="N71" s="23" t="str"/>
      <x:c r="O71" s="23" t="str"/>
      <x:c r="P71" s="23" t="str"/>
    </x:row>
    <x:row r="72">
      <x:c r="A72" s="23" t="str">
        <x:v>TC-071</x:v>
      </x:c>
      <x:c r="B72" s="23" t="str">
        <x:v>FR-009/FR-010/FR-011/FR-012</x:v>
      </x:c>
      <x:c r="C72" s="23" t="str">
        <x:v>下载与校验</x:v>
      </x:c>
      <x:c r="D72" s="23" t="str">
        <x:v>集成/E2E</x:v>
      </x:c>
      <x:c r="E72" s="23" t="str">
        <x:v>下载普通 PDF</x:v>
      </x:c>
      <x:c r="F72" s="23" t="str">
        <x:v>准备测试仓库、输出目录和故障条件</x:v>
      </x:c>
      <x:c r="G72" s="23" t="str">
        <x:v>选择教材并执行下载流程</x:v>
      </x:c>
      <x:c r="H72" s="23" t="str">
        <x:v>仅检出该文件，验证后发布到输出目录</x:v>
      </x:c>
      <x:c r="I72" s="23" t="str">
        <x:v>P0</x:v>
      </x:c>
      <x:c r="J72" s="23" t="str">
        <x:v>适合自动化</x:v>
      </x:c>
      <x:c r="K72" s="23" t="str">
        <x:v>Windows+Ubuntu</x:v>
      </x:c>
      <x:c r="L72" s="23" t="str">
        <x:v>未测试</x:v>
      </x:c>
      <x:c r="M72" s="23" t="str"/>
      <x:c r="N72" s="23" t="str"/>
      <x:c r="O72" s="23" t="str"/>
      <x:c r="P72" s="23" t="str"/>
    </x:row>
    <x:row r="73">
      <x:c r="A73" s="23" t="str">
        <x:v>TC-072</x:v>
      </x:c>
      <x:c r="B73" s="23" t="str">
        <x:v>FR-009/FR-010/FR-011/FR-012</x:v>
      </x:c>
      <x:c r="C73" s="23" t="str">
        <x:v>下载与校验</x:v>
      </x:c>
      <x:c r="D73" s="23" t="str">
        <x:v>集成/E2E</x:v>
      </x:c>
      <x:c r="E73" s="23" t="str">
        <x:v>下载分卷 PDF</x:v>
      </x:c>
      <x:c r="F73" s="23" t="str">
        <x:v>准备测试仓库、输出目录和故障条件</x:v>
      </x:c>
      <x:c r="G73" s="23" t="str">
        <x:v>选择教材并执行下载流程</x:v>
      </x:c>
      <x:c r="H73" s="23" t="str">
        <x:v>检出全部分卷、按序合并、验证后发布</x:v>
      </x:c>
      <x:c r="I73" s="23" t="str">
        <x:v>P0</x:v>
      </x:c>
      <x:c r="J73" s="23" t="str">
        <x:v>适合自动化</x:v>
      </x:c>
      <x:c r="K73" s="23" t="str">
        <x:v>Windows+Ubuntu</x:v>
      </x:c>
      <x:c r="L73" s="23" t="str">
        <x:v>未测试</x:v>
      </x:c>
      <x:c r="M73" s="23" t="str"/>
      <x:c r="N73" s="23" t="str"/>
      <x:c r="O73" s="23" t="str"/>
      <x:c r="P73" s="23" t="str"/>
    </x:row>
    <x:row r="74">
      <x:c r="A74" s="23" t="str">
        <x:v>TC-073</x:v>
      </x:c>
      <x:c r="B74" s="23" t="str">
        <x:v>FR-009/FR-010/FR-011/FR-012</x:v>
      </x:c>
      <x:c r="C74" s="23" t="str">
        <x:v>下载与校验</x:v>
      </x:c>
      <x:c r="D74" s="23" t="str">
        <x:v>集成/E2E</x:v>
      </x:c>
      <x:c r="E74" s="23" t="str">
        <x:v>只选一本书</x:v>
      </x:c>
      <x:c r="F74" s="23" t="str">
        <x:v>准备测试仓库、输出目录和故障条件</x:v>
      </x:c>
      <x:c r="G74" s="23" t="str">
        <x:v>选择教材并执行下载流程</x:v>
      </x:c>
      <x:c r="H74" s="23" t="str">
        <x:v>不下载同目录其他教材</x:v>
      </x:c>
      <x:c r="I74" s="23" t="str">
        <x:v>P0</x:v>
      </x:c>
      <x:c r="J74" s="23" t="str">
        <x:v>适合自动化</x:v>
      </x:c>
      <x:c r="K74" s="23" t="str">
        <x:v>Windows+Ubuntu</x:v>
      </x:c>
      <x:c r="L74" s="23" t="str">
        <x:v>未测试</x:v>
      </x:c>
      <x:c r="M74" s="23" t="str"/>
      <x:c r="N74" s="23" t="str"/>
      <x:c r="O74" s="23" t="str"/>
      <x:c r="P74" s="23" t="str"/>
    </x:row>
    <x:row r="75">
      <x:c r="A75" s="23" t="str">
        <x:v>TC-074</x:v>
      </x:c>
      <x:c r="B75" s="23" t="str">
        <x:v>FR-009/FR-010/FR-011/FR-012</x:v>
      </x:c>
      <x:c r="C75" s="23" t="str">
        <x:v>下载与校验</x:v>
      </x:c>
      <x:c r="D75" s="23" t="str">
        <x:v>集成/E2E</x:v>
      </x:c>
      <x:c r="E75" s="23" t="str">
        <x:v>多本书批量下载</x:v>
      </x:c>
      <x:c r="F75" s="23" t="str">
        <x:v>准备测试仓库、输出目录和故障条件</x:v>
      </x:c>
      <x:c r="G75" s="23" t="str">
        <x:v>选择教材并执行下载流程</x:v>
      </x:c>
      <x:c r="H75" s="23" t="str">
        <x:v>按计划执行，摘要与结果准确</x:v>
      </x:c>
      <x:c r="I75" s="23" t="str">
        <x:v>P1</x:v>
      </x:c>
      <x:c r="J75" s="23" t="str">
        <x:v>适合自动化</x:v>
      </x:c>
      <x:c r="K75" s="23" t="str">
        <x:v>Windows+Ubuntu</x:v>
      </x:c>
      <x:c r="L75" s="23" t="str">
        <x:v>未测试</x:v>
      </x:c>
      <x:c r="M75" s="23" t="str"/>
      <x:c r="N75" s="23" t="str"/>
      <x:c r="O75" s="23" t="str"/>
      <x:c r="P75" s="23" t="str"/>
    </x:row>
    <x:row r="76">
      <x:c r="A76" s="23" t="str">
        <x:v>TC-075</x:v>
      </x:c>
      <x:c r="B76" s="23" t="str">
        <x:v>FR-009/FR-010/FR-011/FR-012</x:v>
      </x:c>
      <x:c r="C76" s="23" t="str">
        <x:v>下载与校验</x:v>
      </x:c>
      <x:c r="D76" s="23" t="str">
        <x:v>集成/E2E</x:v>
      </x:c>
      <x:c r="E76" s="23" t="str">
        <x:v>下载前磁盘预检</x:v>
      </x:c>
      <x:c r="F76" s="23" t="str">
        <x:v>准备测试仓库、输出目录和故障条件</x:v>
      </x:c>
      <x:c r="G76" s="23" t="str">
        <x:v>选择教材并执行下载流程</x:v>
      </x:c>
      <x:c r="H76" s="23" t="str">
        <x:v>空间不足时不启动 Git 写入</x:v>
      </x:c>
      <x:c r="I76" s="23" t="str">
        <x:v>P0</x:v>
      </x:c>
      <x:c r="J76" s="23" t="str">
        <x:v>适合自动化</x:v>
      </x:c>
      <x:c r="K76" s="23" t="str">
        <x:v>Windows+Ubuntu</x:v>
      </x:c>
      <x:c r="L76" s="23" t="str">
        <x:v>未测试</x:v>
      </x:c>
      <x:c r="M76" s="23" t="str"/>
      <x:c r="N76" s="23" t="str"/>
      <x:c r="O76" s="23" t="str"/>
      <x:c r="P76" s="23" t="str"/>
    </x:row>
    <x:row r="77">
      <x:c r="A77" s="23" t="str">
        <x:v>TC-076</x:v>
      </x:c>
      <x:c r="B77" s="23" t="str">
        <x:v>FR-009/FR-010/FR-011/FR-012</x:v>
      </x:c>
      <x:c r="C77" s="23" t="str">
        <x:v>下载与校验</x:v>
      </x:c>
      <x:c r="D77" s="23" t="str">
        <x:v>集成/E2E</x:v>
      </x:c>
      <x:c r="E77" s="23" t="str">
        <x:v>fetch 网络瞬断</x:v>
      </x:c>
      <x:c r="F77" s="23" t="str">
        <x:v>准备测试仓库、输出目录和故障条件</x:v>
      </x:c>
      <x:c r="G77" s="23" t="str">
        <x:v>选择教材并执行下载流程</x:v>
      </x:c>
      <x:c r="H77" s="23" t="str">
        <x:v>按 1s/3s/9s 有限退避后继续或失败</x:v>
      </x:c>
      <x:c r="I77" s="23" t="str">
        <x:v>P0</x:v>
      </x:c>
      <x:c r="J77" s="23" t="str">
        <x:v>适合自动化</x:v>
      </x:c>
      <x:c r="K77" s="23" t="str">
        <x:v>Windows+Ubuntu</x:v>
      </x:c>
      <x:c r="L77" s="23" t="str">
        <x:v>未测试</x:v>
      </x:c>
      <x:c r="M77" s="23" t="str"/>
      <x:c r="N77" s="23" t="str"/>
      <x:c r="O77" s="23" t="str"/>
      <x:c r="P77" s="23" t="str"/>
    </x:row>
    <x:row r="78">
      <x:c r="A78" s="23" t="str">
        <x:v>TC-077</x:v>
      </x:c>
      <x:c r="B78" s="23" t="str">
        <x:v>FR-009/FR-010/FR-011/FR-012</x:v>
      </x:c>
      <x:c r="C78" s="23" t="str">
        <x:v>下载与校验</x:v>
      </x:c>
      <x:c r="D78" s="23" t="str">
        <x:v>集成/E2E</x:v>
      </x:c>
      <x:c r="E78" s="23" t="str">
        <x:v>Git 进程超时</x:v>
      </x:c>
      <x:c r="F78" s="23" t="str">
        <x:v>准备测试仓库、输出目录和故障条件</x:v>
      </x:c>
      <x:c r="G78" s="23" t="str">
        <x:v>选择教材并执行下载流程</x:v>
      </x:c>
      <x:c r="H78" s="23" t="str">
        <x:v>温和终止并收集诊断，无遗留进程</x:v>
      </x:c>
      <x:c r="I78" s="23" t="str">
        <x:v>P0</x:v>
      </x:c>
      <x:c r="J78" s="23" t="str">
        <x:v>适合自动化</x:v>
      </x:c>
      <x:c r="K78" s="23" t="str">
        <x:v>Windows+Ubuntu</x:v>
      </x:c>
      <x:c r="L78" s="23" t="str">
        <x:v>未测试</x:v>
      </x:c>
      <x:c r="M78" s="23" t="str"/>
      <x:c r="N78" s="23" t="str"/>
      <x:c r="O78" s="23" t="str"/>
      <x:c r="P78" s="23" t="str"/>
    </x:row>
    <x:row r="79">
      <x:c r="A79" s="23" t="str">
        <x:v>TC-078</x:v>
      </x:c>
      <x:c r="B79" s="23" t="str">
        <x:v>FR-009/FR-010/FR-011/FR-012</x:v>
      </x:c>
      <x:c r="C79" s="23" t="str">
        <x:v>下载与校验</x:v>
      </x:c>
      <x:c r="D79" s="23" t="str">
        <x:v>集成/E2E</x:v>
      </x:c>
      <x:c r="E79" s="23" t="str">
        <x:v>sparse-checkout 配置异常</x:v>
      </x:c>
      <x:c r="F79" s="23" t="str">
        <x:v>准备测试仓库、输出目录和故障条件</x:v>
      </x:c>
      <x:c r="G79" s="23" t="str">
        <x:v>选择教材并执行下载流程</x:v>
      </x:c>
      <x:c r="H79" s="23" t="str">
        <x:v>重建一次；仍失败则停止</x:v>
      </x:c>
      <x:c r="I79" s="23" t="str">
        <x:v>P0</x:v>
      </x:c>
      <x:c r="J79" s="23" t="str">
        <x:v>适合自动化</x:v>
      </x:c>
      <x:c r="K79" s="23" t="str">
        <x:v>Windows+Ubuntu</x:v>
      </x:c>
      <x:c r="L79" s="23" t="str">
        <x:v>未测试</x:v>
      </x:c>
      <x:c r="M79" s="23" t="str"/>
      <x:c r="N79" s="23" t="str"/>
      <x:c r="O79" s="23" t="str"/>
      <x:c r="P79" s="23" t="str"/>
    </x:row>
    <x:row r="80">
      <x:c r="A80" s="23" t="str">
        <x:v>TC-079</x:v>
      </x:c>
      <x:c r="B80" s="23" t="str">
        <x:v>FR-009/FR-010/FR-011/FR-012</x:v>
      </x:c>
      <x:c r="C80" s="23" t="str">
        <x:v>下载与校验</x:v>
      </x:c>
      <x:c r="D80" s="23" t="str">
        <x:v>集成/E2E</x:v>
      </x:c>
      <x:c r="E80" s="23" t="str">
        <x:v>checkout 后源文件缺失</x:v>
      </x:c>
      <x:c r="F80" s="23" t="str">
        <x:v>准备测试仓库、输出目录和故障条件</x:v>
      </x:c>
      <x:c r="G80" s="23" t="str">
        <x:v>选择教材并执行下载流程</x:v>
      </x:c>
      <x:c r="H80" s="23" t="str">
        <x:v>停止后续合并并定位缺失路径</x:v>
      </x:c>
      <x:c r="I80" s="23" t="str">
        <x:v>P0</x:v>
      </x:c>
      <x:c r="J80" s="23" t="str">
        <x:v>适合自动化</x:v>
      </x:c>
      <x:c r="K80" s="23" t="str">
        <x:v>Windows+Ubuntu</x:v>
      </x:c>
      <x:c r="L80" s="23" t="str">
        <x:v>未测试</x:v>
      </x:c>
      <x:c r="M80" s="23" t="str"/>
      <x:c r="N80" s="23" t="str"/>
      <x:c r="O80" s="23" t="str"/>
      <x:c r="P80" s="23" t="str"/>
    </x:row>
    <x:row r="81">
      <x:c r="A81" s="23" t="str">
        <x:v>TC-080</x:v>
      </x:c>
      <x:c r="B81" s="23" t="str">
        <x:v>FR-009/FR-010/FR-011/FR-012</x:v>
      </x:c>
      <x:c r="C81" s="23" t="str">
        <x:v>下载与校验</x:v>
      </x:c>
      <x:c r="D81" s="23" t="str">
        <x:v>集成/E2E</x:v>
      </x:c>
      <x:c r="E81" s="23" t="str">
        <x:v>合并中磁盘写满</x:v>
      </x:c>
      <x:c r="F81" s="23" t="str">
        <x:v>准备测试仓库、输出目录和故障条件</x:v>
      </x:c>
      <x:c r="G81" s="23" t="str">
        <x:v>选择教材并执行下载流程</x:v>
      </x:c>
      <x:c r="H81" s="23" t="str">
        <x:v>不得发布部分 PDF</x:v>
      </x:c>
      <x:c r="I81" s="23" t="str">
        <x:v>P0</x:v>
      </x:c>
      <x:c r="J81" s="23" t="str">
        <x:v>适合自动化</x:v>
      </x:c>
      <x:c r="K81" s="23" t="str">
        <x:v>Windows+Ubuntu</x:v>
      </x:c>
      <x:c r="L81" s="23" t="str">
        <x:v>未测试</x:v>
      </x:c>
      <x:c r="M81" s="23" t="str"/>
      <x:c r="N81" s="23" t="str"/>
      <x:c r="O81" s="23" t="str"/>
      <x:c r="P81" s="23" t="str"/>
    </x:row>
    <x:row r="82">
      <x:c r="A82" s="23" t="str">
        <x:v>TC-081</x:v>
      </x:c>
      <x:c r="B82" s="23" t="str">
        <x:v>FR-009/FR-010/FR-011/FR-012</x:v>
      </x:c>
      <x:c r="C82" s="23" t="str">
        <x:v>下载与校验</x:v>
      </x:c>
      <x:c r="D82" s="23" t="str">
        <x:v>集成/E2E</x:v>
      </x:c>
      <x:c r="E82" s="23" t="str">
        <x:v>合并中用户取消</x:v>
      </x:c>
      <x:c r="F82" s="23" t="str">
        <x:v>准备测试仓库、输出目录和故障条件</x:v>
      </x:c>
      <x:c r="G82" s="23" t="str">
        <x:v>选择教材并执行下载流程</x:v>
      </x:c>
      <x:c r="H82" s="23" t="str">
        <x:v>在安全块边界停止，临时文件安全处理</x:v>
      </x:c>
      <x:c r="I82" s="23" t="str">
        <x:v>P0</x:v>
      </x:c>
      <x:c r="J82" s="23" t="str">
        <x:v>适合自动化</x:v>
      </x:c>
      <x:c r="K82" s="23" t="str">
        <x:v>Windows+Ubuntu</x:v>
      </x:c>
      <x:c r="L82" s="23" t="str">
        <x:v>未测试</x:v>
      </x:c>
      <x:c r="M82" s="23" t="str"/>
      <x:c r="N82" s="23" t="str"/>
      <x:c r="O82" s="23" t="str"/>
      <x:c r="P82" s="23" t="str"/>
    </x:row>
    <x:row r="83">
      <x:c r="A83" s="23" t="str">
        <x:v>TC-082</x:v>
      </x:c>
      <x:c r="B83" s="23" t="str">
        <x:v>FR-009/FR-010/FR-011/FR-012</x:v>
      </x:c>
      <x:c r="C83" s="23" t="str">
        <x:v>下载与校验</x:v>
      </x:c>
      <x:c r="D83" s="23" t="str">
        <x:v>集成/E2E</x:v>
      </x:c>
      <x:c r="E83" s="23" t="str">
        <x:v>verify 中用户取消</x:v>
      </x:c>
      <x:c r="F83" s="23" t="str">
        <x:v>准备测试仓库、输出目录和故障条件</x:v>
      </x:c>
      <x:c r="G83" s="23" t="str">
        <x:v>选择教材并执行下载流程</x:v>
      </x:c>
      <x:c r="H83" s="23" t="str">
        <x:v>丢弃部分哈希，不写完成状态</x:v>
      </x:c>
      <x:c r="I83" s="23" t="str">
        <x:v>P0</x:v>
      </x:c>
      <x:c r="J83" s="23" t="str">
        <x:v>适合自动化</x:v>
      </x:c>
      <x:c r="K83" s="23" t="str">
        <x:v>Windows+Ubuntu</x:v>
      </x:c>
      <x:c r="L83" s="23" t="str">
        <x:v>未测试</x:v>
      </x:c>
      <x:c r="M83" s="23" t="str"/>
      <x:c r="N83" s="23" t="str"/>
      <x:c r="O83" s="23" t="str"/>
      <x:c r="P83" s="23" t="str"/>
    </x:row>
    <x:row r="84">
      <x:c r="A84" s="23" t="str">
        <x:v>TC-083</x:v>
      </x:c>
      <x:c r="B84" s="23" t="str">
        <x:v>FR-009/FR-010/FR-011/FR-012</x:v>
      </x:c>
      <x:c r="C84" s="23" t="str">
        <x:v>下载与校验</x:v>
      </x:c>
      <x:c r="D84" s="23" t="str">
        <x:v>集成/E2E</x:v>
      </x:c>
      <x:c r="E84" s="23" t="str">
        <x:v>SHA256 不一致</x:v>
      </x:c>
      <x:c r="F84" s="23" t="str">
        <x:v>准备测试仓库、输出目录和故障条件</x:v>
      </x:c>
      <x:c r="G84" s="23" t="str">
        <x:v>选择教材并执行下载流程</x:v>
      </x:c>
      <x:c r="H84" s="23" t="str">
        <x:v>任务失败，旧可信输出不被覆盖</x:v>
      </x:c>
      <x:c r="I84" s="23" t="str">
        <x:v>P0</x:v>
      </x:c>
      <x:c r="J84" s="23" t="str">
        <x:v>适合自动化</x:v>
      </x:c>
      <x:c r="K84" s="23" t="str">
        <x:v>Windows+Ubuntu</x:v>
      </x:c>
      <x:c r="L84" s="23" t="str">
        <x:v>未测试</x:v>
      </x:c>
      <x:c r="M84" s="23" t="str"/>
      <x:c r="N84" s="23" t="str"/>
      <x:c r="O84" s="23" t="str"/>
      <x:c r="P84" s="23" t="str"/>
    </x:row>
    <x:row r="85">
      <x:c r="A85" s="23" t="str">
        <x:v>TC-084</x:v>
      </x:c>
      <x:c r="B85" s="23" t="str">
        <x:v>FR-009/FR-010/FR-011/FR-012</x:v>
      </x:c>
      <x:c r="C85" s="23" t="str">
        <x:v>下载与校验</x:v>
      </x:c>
      <x:c r="D85" s="23" t="str">
        <x:v>集成/E2E</x:v>
      </x:c>
      <x:c r="E85" s="23" t="str">
        <x:v>原子替换失败</x:v>
      </x:c>
      <x:c r="F85" s="23" t="str">
        <x:v>准备测试仓库、输出目录和故障条件</x:v>
      </x:c>
      <x:c r="G85" s="23" t="str">
        <x:v>选择教材并执行下载流程</x:v>
      </x:c>
      <x:c r="H85" s="23" t="str">
        <x:v>旧输出继续有效，任务不得 completed</x:v>
      </x:c>
      <x:c r="I85" s="23" t="str">
        <x:v>P0</x:v>
      </x:c>
      <x:c r="J85" s="23" t="str">
        <x:v>适合自动化</x:v>
      </x:c>
      <x:c r="K85" s="23" t="str">
        <x:v>Windows+Ubuntu</x:v>
      </x:c>
      <x:c r="L85" s="23" t="str">
        <x:v>未测试</x:v>
      </x:c>
      <x:c r="M85" s="23" t="str"/>
      <x:c r="N85" s="23" t="str"/>
      <x:c r="O85" s="23" t="str"/>
      <x:c r="P85" s="23" t="str"/>
    </x:row>
    <x:row r="86">
      <x:c r="A86" s="23" t="str">
        <x:v>TC-085</x:v>
      </x:c>
      <x:c r="B86" s="23" t="str">
        <x:v>FR-009/FR-010/FR-011/FR-012</x:v>
      </x:c>
      <x:c r="C86" s="23" t="str">
        <x:v>下载与校验</x:v>
      </x:c>
      <x:c r="D86" s="23" t="str">
        <x:v>集成/E2E</x:v>
      </x:c>
      <x:c r="E86" s="23" t="str">
        <x:v>clean=false</x:v>
      </x:c>
      <x:c r="F86" s="23" t="str">
        <x:v>准备测试仓库、输出目录和故障条件</x:v>
      </x:c>
      <x:c r="G86" s="23" t="str">
        <x:v>选择教材并执行下载流程</x:v>
      </x:c>
      <x:c r="H86" s="23" t="str">
        <x:v>保留分卷，成品验证记录正确</x:v>
      </x:c>
      <x:c r="I86" s="23" t="str">
        <x:v>P1</x:v>
      </x:c>
      <x:c r="J86" s="23" t="str">
        <x:v>适合自动化</x:v>
      </x:c>
      <x:c r="K86" s="23" t="str">
        <x:v>Windows+Ubuntu</x:v>
      </x:c>
      <x:c r="L86" s="23" t="str">
        <x:v>未测试</x:v>
      </x:c>
      <x:c r="M86" s="23" t="str"/>
      <x:c r="N86" s="23" t="str"/>
      <x:c r="O86" s="23" t="str"/>
      <x:c r="P86" s="23" t="str"/>
    </x:row>
    <x:row r="87">
      <x:c r="A87" s="23" t="str">
        <x:v>TC-086</x:v>
      </x:c>
      <x:c r="B87" s="23" t="str">
        <x:v>FR-009/FR-010/FR-011/FR-012</x:v>
      </x:c>
      <x:c r="C87" s="23" t="str">
        <x:v>下载与校验</x:v>
      </x:c>
      <x:c r="D87" s="23" t="str">
        <x:v>集成/E2E</x:v>
      </x:c>
      <x:c r="E87" s="23" t="str">
        <x:v>clean=true 且验证成功</x:v>
      </x:c>
      <x:c r="F87" s="23" t="str">
        <x:v>准备测试仓库、输出目录和故障条件</x:v>
      </x:c>
      <x:c r="G87" s="23" t="str">
        <x:v>选择教材并执行下载流程</x:v>
      </x:c>
      <x:c r="H87" s="23" t="str">
        <x:v>仅删除本书已确认分卷</x:v>
      </x:c>
      <x:c r="I87" s="23" t="str">
        <x:v>P0</x:v>
      </x:c>
      <x:c r="J87" s="23" t="str">
        <x:v>适合自动化</x:v>
      </x:c>
      <x:c r="K87" s="23" t="str">
        <x:v>Windows+Ubuntu</x:v>
      </x:c>
      <x:c r="L87" s="23" t="str">
        <x:v>未测试</x:v>
      </x:c>
      <x:c r="M87" s="23" t="str"/>
      <x:c r="N87" s="23" t="str"/>
      <x:c r="O87" s="23" t="str"/>
      <x:c r="P87" s="23" t="str"/>
    </x:row>
    <x:row r="88">
      <x:c r="A88" s="23" t="str">
        <x:v>TC-087</x:v>
      </x:c>
      <x:c r="B88" s="23" t="str">
        <x:v>FR-009/FR-010/FR-011/FR-012</x:v>
      </x:c>
      <x:c r="C88" s="23" t="str">
        <x:v>下载与校验</x:v>
      </x:c>
      <x:c r="D88" s="23" t="str">
        <x:v>集成/E2E</x:v>
      </x:c>
      <x:c r="E88" s="23" t="str">
        <x:v>clean=true 且验证失败</x:v>
      </x:c>
      <x:c r="F88" s="23" t="str">
        <x:v>准备测试仓库、输出目录和故障条件</x:v>
      </x:c>
      <x:c r="G88" s="23" t="str">
        <x:v>选择教材并执行下载流程</x:v>
      </x:c>
      <x:c r="H88" s="23" t="str">
        <x:v>不删除任何分卷</x:v>
      </x:c>
      <x:c r="I88" s="23" t="str">
        <x:v>P0</x:v>
      </x:c>
      <x:c r="J88" s="23" t="str">
        <x:v>适合自动化</x:v>
      </x:c>
      <x:c r="K88" s="23" t="str">
        <x:v>Windows+Ubuntu</x:v>
      </x:c>
      <x:c r="L88" s="23" t="str">
        <x:v>未测试</x:v>
      </x:c>
      <x:c r="M88" s="23" t="str"/>
      <x:c r="N88" s="23" t="str"/>
      <x:c r="O88" s="23" t="str"/>
      <x:c r="P88" s="23" t="str"/>
    </x:row>
    <x:row r="89">
      <x:c r="A89" s="23" t="str">
        <x:v>TC-088</x:v>
      </x:c>
      <x:c r="B89" s="23" t="str">
        <x:v>FR-009/FR-010/FR-011/FR-012</x:v>
      </x:c>
      <x:c r="C89" s="23" t="str">
        <x:v>下载与校验</x:v>
      </x:c>
      <x:c r="D89" s="23" t="str">
        <x:v>集成/E2E</x:v>
      </x:c>
      <x:c r="E89" s="23" t="str">
        <x:v>上游删除末卷</x:v>
      </x:c>
      <x:c r="F89" s="23" t="str">
        <x:v>准备测试仓库、输出目录和故障条件</x:v>
      </x:c>
      <x:c r="G89" s="23" t="str">
        <x:v>选择教材并执行下载流程</x:v>
      </x:c>
      <x:c r="H89" s="23" t="str">
        <x:v>旧完整 PDF 保留，Group 变 stale</x:v>
      </x:c>
      <x:c r="I89" s="23" t="str">
        <x:v>P0</x:v>
      </x:c>
      <x:c r="J89" s="23" t="str">
        <x:v>适合自动化</x:v>
      </x:c>
      <x:c r="K89" s="23" t="str">
        <x:v>Windows+Ubuntu</x:v>
      </x:c>
      <x:c r="L89" s="23" t="str">
        <x:v>未测试</x:v>
      </x:c>
      <x:c r="M89" s="23" t="str"/>
      <x:c r="N89" s="23" t="str"/>
      <x:c r="O89" s="23" t="str"/>
      <x:c r="P89" s="23" t="str"/>
    </x:row>
    <x:row r="90">
      <x:c r="A90" s="23" t="str">
        <x:v>TC-089</x:v>
      </x:c>
      <x:c r="B90" s="23" t="str">
        <x:v>FR-009/FR-010/FR-011/FR-012</x:v>
      </x:c>
      <x:c r="C90" s="23" t="str">
        <x:v>下载与校验</x:v>
      </x:c>
      <x:c r="D90" s="23" t="str">
        <x:v>集成/E2E</x:v>
      </x:c>
      <x:c r="E90" s="23" t="str">
        <x:v>上游新增分卷</x:v>
      </x:c>
      <x:c r="F90" s="23" t="str">
        <x:v>准备测试仓库、输出目录和故障条件</x:v>
      </x:c>
      <x:c r="G90" s="23" t="str">
        <x:v>选择教材并执行下载流程</x:v>
      </x:c>
      <x:c r="H90" s="23" t="str">
        <x:v>识别结构变化并重新下载/合并</x:v>
      </x:c>
      <x:c r="I90" s="23" t="str">
        <x:v>P0</x:v>
      </x:c>
      <x:c r="J90" s="23" t="str">
        <x:v>适合自动化</x:v>
      </x:c>
      <x:c r="K90" s="23" t="str">
        <x:v>Windows+Ubuntu</x:v>
      </x:c>
      <x:c r="L90" s="23" t="str">
        <x:v>未测试</x:v>
      </x:c>
      <x:c r="M90" s="23" t="str"/>
      <x:c r="N90" s="23" t="str"/>
      <x:c r="O90" s="23" t="str"/>
      <x:c r="P90" s="23" t="str"/>
    </x:row>
    <x:row r="91">
      <x:c r="A91" s="23" t="str">
        <x:v>TC-090</x:v>
      </x:c>
      <x:c r="B91" s="23" t="str">
        <x:v>FR-009/FR-010/FR-011/FR-012</x:v>
      </x:c>
      <x:c r="C91" s="23" t="str">
        <x:v>下载与校验</x:v>
      </x:c>
      <x:c r="D91" s="23" t="str">
        <x:v>集成/E2E</x:v>
      </x:c>
      <x:c r="E91" s="23" t="str">
        <x:v>普通 PDF 变为分卷</x:v>
      </x:c>
      <x:c r="F91" s="23" t="str">
        <x:v>准备测试仓库、输出目录和故障条件</x:v>
      </x:c>
      <x:c r="G91" s="23" t="str">
        <x:v>选择教材并执行下载流程</x:v>
      </x:c>
      <x:c r="H91" s="23" t="str">
        <x:v>识别类型变化，旧输出不被静默覆盖</x:v>
      </x:c>
      <x:c r="I91" s="23" t="str">
        <x:v>P0</x:v>
      </x:c>
      <x:c r="J91" s="23" t="str">
        <x:v>适合自动化</x:v>
      </x:c>
      <x:c r="K91" s="23" t="str">
        <x:v>Windows+Ubuntu</x:v>
      </x:c>
      <x:c r="L91" s="23" t="str">
        <x:v>未测试</x:v>
      </x:c>
      <x:c r="M91" s="23" t="str"/>
      <x:c r="N91" s="23" t="str"/>
      <x:c r="O91" s="23" t="str"/>
      <x:c r="P91" s="23" t="str"/>
    </x:row>
    <x:row r="92">
      <x:c r="A92" s="23" t="str">
        <x:v>TC-091</x:v>
      </x:c>
      <x:c r="B92" s="23" t="str">
        <x:v>FR-009/FR-010/FR-011/FR-012</x:v>
      </x:c>
      <x:c r="C92" s="23" t="str">
        <x:v>下载与校验</x:v>
      </x:c>
      <x:c r="D92" s="23" t="str">
        <x:v>集成/E2E</x:v>
      </x:c>
      <x:c r="E92" s="23" t="str">
        <x:v>下载过程中打开 F1/F8</x:v>
      </x:c>
      <x:c r="F92" s="23" t="str">
        <x:v>准备测试仓库、输出目录和故障条件</x:v>
      </x:c>
      <x:c r="G92" s="23" t="str">
        <x:v>选择教材并执行下载流程</x:v>
      </x:c>
      <x:c r="H92" s="23" t="str">
        <x:v>任务继续，UI 可响应</x:v>
      </x:c>
      <x:c r="I92" s="23" t="str">
        <x:v>P1</x:v>
      </x:c>
      <x:c r="J92" s="23" t="str">
        <x:v>适合自动化</x:v>
      </x:c>
      <x:c r="K92" s="23" t="str">
        <x:v>Windows+Ubuntu</x:v>
      </x:c>
      <x:c r="L92" s="23" t="str">
        <x:v>未测试</x:v>
      </x:c>
      <x:c r="M92" s="23" t="str"/>
      <x:c r="N92" s="23" t="str"/>
      <x:c r="O92" s="23" t="str"/>
      <x:c r="P92" s="23" t="str"/>
    </x:row>
    <x:row r="93">
      <x:c r="A93" s="23" t="str">
        <x:v>TC-092</x:v>
      </x:c>
      <x:c r="B93" s="23" t="str">
        <x:v>FR-009/FR-010/FR-011/FR-012</x:v>
      </x:c>
      <x:c r="C93" s="23" t="str">
        <x:v>下载与校验</x:v>
      </x:c>
      <x:c r="D93" s="23" t="str">
        <x:v>集成/E2E</x:v>
      </x:c>
      <x:c r="E93" s="23" t="str">
        <x:v>应用异常崩溃后重启</x:v>
      </x:c>
      <x:c r="F93" s="23" t="str">
        <x:v>准备测试仓库、输出目录和故障条件</x:v>
      </x:c>
      <x:c r="G93" s="23" t="str">
        <x:v>选择教材并执行下载流程</x:v>
      </x:c>
      <x:c r="H93" s="23" t="str">
        <x:v>旧任务转 interrupted，允许创建恢复任务</x:v>
      </x:c>
      <x:c r="I93" s="23" t="str">
        <x:v>P0</x:v>
      </x:c>
      <x:c r="J93" s="23" t="str">
        <x:v>适合自动化</x:v>
      </x:c>
      <x:c r="K93" s="23" t="str">
        <x:v>Windows+Ubuntu</x:v>
      </x:c>
      <x:c r="L93" s="23" t="str">
        <x:v>未测试</x:v>
      </x:c>
      <x:c r="M93" s="23" t="str"/>
      <x:c r="N93" s="23" t="str"/>
      <x:c r="O93" s="23" t="str"/>
      <x:c r="P93" s="23" t="str"/>
    </x:row>
    <x:row r="94">
      <x:c r="A94" s="23" t="str">
        <x:v>TC-093</x:v>
      </x:c>
      <x:c r="B94" s="23" t="str">
        <x:v>FR-009/FR-010/FR-011/FR-012</x:v>
      </x:c>
      <x:c r="C94" s="23" t="str">
        <x:v>下载与校验</x:v>
      </x:c>
      <x:c r="D94" s="23" t="str">
        <x:v>集成/E2E</x:v>
      </x:c>
      <x:c r="E94" s="23" t="str">
        <x:v>下载完成但状态写入失败</x:v>
      </x:c>
      <x:c r="F94" s="23" t="str">
        <x:v>准备测试仓库、输出目录和故障条件</x:v>
      </x:c>
      <x:c r="G94" s="23" t="str">
        <x:v>选择教材并执行下载流程</x:v>
      </x:c>
      <x:c r="H94" s="23" t="str">
        <x:v>不得宣告 ready/completed</x:v>
      </x:c>
      <x:c r="I94" s="23" t="str">
        <x:v>P0</x:v>
      </x:c>
      <x:c r="J94" s="23" t="str">
        <x:v>适合自动化</x:v>
      </x:c>
      <x:c r="K94" s="23" t="str">
        <x:v>Windows+Ubuntu</x:v>
      </x:c>
      <x:c r="L94" s="23" t="str">
        <x:v>未测试</x:v>
      </x:c>
      <x:c r="M94" s="23" t="str"/>
      <x:c r="N94" s="23" t="str"/>
      <x:c r="O94" s="23" t="str"/>
      <x:c r="P94" s="23" t="str"/>
    </x:row>
    <x:row r="95">
      <x:c r="A95" s="23" t="str">
        <x:v>TC-094</x:v>
      </x:c>
      <x:c r="B95" s="23" t="str">
        <x:v>FR-009/FR-010/FR-011/FR-012</x:v>
      </x:c>
      <x:c r="C95" s="23" t="str">
        <x:v>下载与校验</x:v>
      </x:c>
      <x:c r="D95" s="23" t="str">
        <x:v>集成/E2E</x:v>
      </x:c>
      <x:c r="E95" s="23" t="str">
        <x:v>重复执行相同已验证书目</x:v>
      </x:c>
      <x:c r="F95" s="23" t="str">
        <x:v>准备测试仓库、输出目录和故障条件</x:v>
      </x:c>
      <x:c r="G95" s="23" t="str">
        <x:v>选择教材并执行下载流程</x:v>
      </x:c>
      <x:c r="H95" s="23" t="str">
        <x:v>按策略跳过或重新验证，不重复破坏</x:v>
      </x:c>
      <x:c r="I95" s="23" t="str">
        <x:v>P1</x:v>
      </x:c>
      <x:c r="J95" s="23" t="str">
        <x:v>适合自动化</x:v>
      </x:c>
      <x:c r="K95" s="23" t="str">
        <x:v>Windows+Ubuntu</x:v>
      </x:c>
      <x:c r="L95" s="23" t="str">
        <x:v>未测试</x:v>
      </x:c>
      <x:c r="M95" s="23" t="str"/>
      <x:c r="N95" s="23" t="str"/>
      <x:c r="O95" s="23" t="str"/>
      <x:c r="P95" s="23" t="str"/>
    </x:row>
    <x:row r="96">
      <x:c r="A96" s="23" t="str">
        <x:v>TC-095</x:v>
      </x:c>
      <x:c r="B96" s="23" t="str">
        <x:v>FR-009/FR-010/FR-011/FR-012</x:v>
      </x:c>
      <x:c r="C96" s="23" t="str">
        <x:v>下载与校验</x:v>
      </x:c>
      <x:c r="D96" s="23" t="str">
        <x:v>集成/E2E</x:v>
      </x:c>
      <x:c r="E96" s="23" t="str">
        <x:v>输出目录已有同名非本程序文件</x:v>
      </x:c>
      <x:c r="F96" s="23" t="str">
        <x:v>准备测试仓库、输出目录和故障条件</x:v>
      </x:c>
      <x:c r="G96" s="23" t="str">
        <x:v>选择教材并执行下载流程</x:v>
      </x:c>
      <x:c r="H96" s="23" t="str">
        <x:v>不覆盖，提示冲突</x:v>
      </x:c>
      <x:c r="I96" s="23" t="str">
        <x:v>P0</x:v>
      </x:c>
      <x:c r="J96" s="23" t="str">
        <x:v>适合自动化</x:v>
      </x:c>
      <x:c r="K96" s="23" t="str">
        <x:v>Windows+Ubuntu</x:v>
      </x:c>
      <x:c r="L96" s="23" t="str">
        <x:v>未测试</x:v>
      </x:c>
      <x:c r="M96" s="23" t="str"/>
      <x:c r="N96" s="23" t="str"/>
      <x:c r="O96" s="23" t="str"/>
      <x:c r="P96" s="23" t="str"/>
    </x:row>
    <x:row r="97">
      <x:c r="A97" s="23" t="str">
        <x:v>TC-096</x:v>
      </x:c>
      <x:c r="B97" s="23" t="str">
        <x:v>FR-013/FR-018</x:v>
      </x:c>
      <x:c r="C97" s="23" t="str">
        <x:v>日志与诊断</x:v>
      </x:c>
      <x:c r="D97" s="23" t="str">
        <x:v>集成</x:v>
      </x:c>
      <x:c r="E97" s="23" t="str">
        <x:v>INFO/WARN/ERROR 过滤</x:v>
      </x:c>
      <x:c r="F97" s="23" t="str">
        <x:v>应用已运行并产生日志</x:v>
      </x:c>
      <x:c r="G97" s="23" t="str">
        <x:v>执行日志操作或注入条件</x:v>
      </x:c>
      <x:c r="H97" s="23" t="str">
        <x:v>仅显示所选级别且原日志未丢失</x:v>
      </x:c>
      <x:c r="I97" s="23" t="str">
        <x:v>P1</x:v>
      </x:c>
      <x:c r="J97" s="23" t="str">
        <x:v>部分自动化</x:v>
      </x:c>
      <x:c r="K97" s="23" t="str">
        <x:v>Windows+Ubuntu</x:v>
      </x:c>
      <x:c r="L97" s="23" t="str">
        <x:v>未测试</x:v>
      </x:c>
      <x:c r="M97" s="23" t="str"/>
      <x:c r="N97" s="23" t="str"/>
      <x:c r="O97" s="23" t="str"/>
      <x:c r="P97" s="23" t="str"/>
    </x:row>
    <x:row r="98">
      <x:c r="A98" s="23" t="str">
        <x:v>TC-097</x:v>
      </x:c>
      <x:c r="B98" s="23" t="str">
        <x:v>FR-013/FR-018</x:v>
      </x:c>
      <x:c r="C98" s="23" t="str">
        <x:v>日志与诊断</x:v>
      </x:c>
      <x:c r="D98" s="23" t="str">
        <x:v>集成</x:v>
      </x:c>
      <x:c r="E98" s="23" t="str">
        <x:v>暂停自动滚动</x:v>
      </x:c>
      <x:c r="F98" s="23" t="str">
        <x:v>应用已运行并产生日志</x:v>
      </x:c>
      <x:c r="G98" s="23" t="str">
        <x:v>执行日志操作或注入条件</x:v>
      </x:c>
      <x:c r="H98" s="23" t="str">
        <x:v>新日志进入缓冲但视图位置不跳动</x:v>
      </x:c>
      <x:c r="I98" s="23" t="str">
        <x:v>P1</x:v>
      </x:c>
      <x:c r="J98" s="23" t="str">
        <x:v>部分自动化</x:v>
      </x:c>
      <x:c r="K98" s="23" t="str">
        <x:v>Windows+Ubuntu</x:v>
      </x:c>
      <x:c r="L98" s="23" t="str">
        <x:v>未测试</x:v>
      </x:c>
      <x:c r="M98" s="23" t="str"/>
      <x:c r="N98" s="23" t="str"/>
      <x:c r="O98" s="23" t="str"/>
      <x:c r="P98" s="23" t="str"/>
    </x:row>
    <x:row r="99">
      <x:c r="A99" s="23" t="str">
        <x:v>TC-098</x:v>
      </x:c>
      <x:c r="B99" s="23" t="str">
        <x:v>FR-013/FR-018</x:v>
      </x:c>
      <x:c r="C99" s="23" t="str">
        <x:v>日志与诊断</x:v>
      </x:c>
      <x:c r="D99" s="23" t="str">
        <x:v>集成</x:v>
      </x:c>
      <x:c r="E99" s="23" t="str">
        <x:v>恢复自动滚动</x:v>
      </x:c>
      <x:c r="F99" s="23" t="str">
        <x:v>应用已运行并产生日志</x:v>
      </x:c>
      <x:c r="G99" s="23" t="str">
        <x:v>执行日志操作或注入条件</x:v>
      </x:c>
      <x:c r="H99" s="23" t="str">
        <x:v>视图跳转到最新记录</x:v>
      </x:c>
      <x:c r="I99" s="23" t="str">
        <x:v>P1</x:v>
      </x:c>
      <x:c r="J99" s="23" t="str">
        <x:v>部分自动化</x:v>
      </x:c>
      <x:c r="K99" s="23" t="str">
        <x:v>Windows+Ubuntu</x:v>
      </x:c>
      <x:c r="L99" s="23" t="str">
        <x:v>未测试</x:v>
      </x:c>
      <x:c r="M99" s="23" t="str"/>
      <x:c r="N99" s="23" t="str"/>
      <x:c r="O99" s="23" t="str"/>
      <x:c r="P99" s="23" t="str"/>
    </x:row>
    <x:row r="100">
      <x:c r="A100" s="23" t="str">
        <x:v>TC-099</x:v>
      </x:c>
      <x:c r="B100" s="23" t="str">
        <x:v>FR-013/FR-018</x:v>
      </x:c>
      <x:c r="C100" s="23" t="str">
        <x:v>日志与诊断</x:v>
      </x:c>
      <x:c r="D100" s="23" t="str">
        <x:v>集成</x:v>
      </x:c>
      <x:c r="E100" s="23" t="str">
        <x:v>日志轮转</x:v>
      </x:c>
      <x:c r="F100" s="23" t="str">
        <x:v>应用已运行并产生日志</x:v>
      </x:c>
      <x:c r="G100" s="23" t="str">
        <x:v>执行日志操作或注入条件</x:v>
      </x:c>
      <x:c r="H100" s="23" t="str">
        <x:v>达到阈值后轮转且保留数量符合配置</x:v>
      </x:c>
      <x:c r="I100" s="23" t="str">
        <x:v>P1</x:v>
      </x:c>
      <x:c r="J100" s="23" t="str">
        <x:v>部分自动化</x:v>
      </x:c>
      <x:c r="K100" s="23" t="str">
        <x:v>Windows+Ubuntu</x:v>
      </x:c>
      <x:c r="L100" s="23" t="str">
        <x:v>未测试</x:v>
      </x:c>
      <x:c r="M100" s="23" t="str"/>
      <x:c r="N100" s="23" t="str"/>
      <x:c r="O100" s="23" t="str"/>
      <x:c r="P100" s="23" t="str"/>
    </x:row>
    <x:row r="101">
      <x:c r="A101" s="23" t="str">
        <x:v>TC-100</x:v>
      </x:c>
      <x:c r="B101" s="23" t="str">
        <x:v>FR-013/FR-018</x:v>
      </x:c>
      <x:c r="C101" s="23" t="str">
        <x:v>日志与诊断</x:v>
      </x:c>
      <x:c r="D101" s="23" t="str">
        <x:v>集成</x:v>
      </x:c>
      <x:c r="E101" s="23" t="str">
        <x:v>URL 含 token</x:v>
      </x:c>
      <x:c r="F101" s="23" t="str">
        <x:v>应用已运行并产生日志</x:v>
      </x:c>
      <x:c r="G101" s="23" t="str">
        <x:v>执行日志操作或注入条件</x:v>
      </x:c>
      <x:c r="H101" s="23" t="str">
        <x:v>界面、文件日志和诊断包均脱敏</x:v>
      </x:c>
      <x:c r="I101" s="23" t="str">
        <x:v>P0</x:v>
      </x:c>
      <x:c r="J101" s="23" t="str">
        <x:v>部分自动化</x:v>
      </x:c>
      <x:c r="K101" s="23" t="str">
        <x:v>Windows+Ubuntu</x:v>
      </x:c>
      <x:c r="L101" s="23" t="str">
        <x:v>未测试</x:v>
      </x:c>
      <x:c r="M101" s="23" t="str"/>
      <x:c r="N101" s="23" t="str"/>
      <x:c r="O101" s="23" t="str"/>
      <x:c r="P101" s="23" t="str"/>
    </x:row>
    <x:row r="102">
      <x:c r="A102" s="23" t="str">
        <x:v>TC-101</x:v>
      </x:c>
      <x:c r="B102" s="23" t="str">
        <x:v>FR-013/FR-018</x:v>
      </x:c>
      <x:c r="C102" s="23" t="str">
        <x:v>日志与诊断</x:v>
      </x:c>
      <x:c r="D102" s="23" t="str">
        <x:v>集成</x:v>
      </x:c>
      <x:c r="E102" s="23" t="str">
        <x:v>用户名和主目录路径</x:v>
      </x:c>
      <x:c r="F102" s="23" t="str">
        <x:v>应用已运行并产生日志</x:v>
      </x:c>
      <x:c r="G102" s="23" t="str">
        <x:v>执行日志操作或注入条件</x:v>
      </x:c>
      <x:c r="H102" s="23" t="str">
        <x:v>按脱敏规则处理</x:v>
      </x:c>
      <x:c r="I102" s="23" t="str">
        <x:v>P0</x:v>
      </x:c>
      <x:c r="J102" s="23" t="str">
        <x:v>部分自动化</x:v>
      </x:c>
      <x:c r="K102" s="23" t="str">
        <x:v>Windows+Ubuntu</x:v>
      </x:c>
      <x:c r="L102" s="23" t="str">
        <x:v>未测试</x:v>
      </x:c>
      <x:c r="M102" s="23" t="str"/>
      <x:c r="N102" s="23" t="str"/>
      <x:c r="O102" s="23" t="str"/>
      <x:c r="P102" s="23" t="str"/>
    </x:row>
    <x:row r="103">
      <x:c r="A103" s="23" t="str">
        <x:v>TC-102</x:v>
      </x:c>
      <x:c r="B103" s="23" t="str">
        <x:v>FR-013/FR-018</x:v>
      </x:c>
      <x:c r="C103" s="23" t="str">
        <x:v>日志与诊断</x:v>
      </x:c>
      <x:c r="D103" s="23" t="str">
        <x:v>集成</x:v>
      </x:c>
      <x:c r="E103" s="23" t="str">
        <x:v>导出诊断包</x:v>
      </x:c>
      <x:c r="F103" s="23" t="str">
        <x:v>应用已运行并产生日志</x:v>
      </x:c>
      <x:c r="G103" s="23" t="str">
        <x:v>执行日志操作或注入条件</x:v>
      </x:c>
      <x:c r="H103" s="23" t="str">
        <x:v>包含版本、环境、日志摘要和状态摘要</x:v>
      </x:c>
      <x:c r="I103" s="23" t="str">
        <x:v>P0</x:v>
      </x:c>
      <x:c r="J103" s="23" t="str">
        <x:v>部分自动化</x:v>
      </x:c>
      <x:c r="K103" s="23" t="str">
        <x:v>Windows+Ubuntu</x:v>
      </x:c>
      <x:c r="L103" s="23" t="str">
        <x:v>未测试</x:v>
      </x:c>
      <x:c r="M103" s="23" t="str"/>
      <x:c r="N103" s="23" t="str"/>
      <x:c r="O103" s="23" t="str"/>
      <x:c r="P103" s="23" t="str"/>
    </x:row>
    <x:row r="104">
      <x:c r="A104" s="23" t="str">
        <x:v>TC-103</x:v>
      </x:c>
      <x:c r="B104" s="23" t="str">
        <x:v>FR-013/FR-018</x:v>
      </x:c>
      <x:c r="C104" s="23" t="str">
        <x:v>日志与诊断</x:v>
      </x:c>
      <x:c r="D104" s="23" t="str">
        <x:v>集成</x:v>
      </x:c>
      <x:c r="E104" s="23" t="str">
        <x:v>清空当前显示</x:v>
      </x:c>
      <x:c r="F104" s="23" t="str">
        <x:v>应用已运行并产生日志</x:v>
      </x:c>
      <x:c r="G104" s="23" t="str">
        <x:v>执行日志操作或注入条件</x:v>
      </x:c>
      <x:c r="H104" s="23" t="str">
        <x:v>仅清空视图，不删除磁盘日志</x:v>
      </x:c>
      <x:c r="I104" s="23" t="str">
        <x:v>P1</x:v>
      </x:c>
      <x:c r="J104" s="23" t="str">
        <x:v>部分自动化</x:v>
      </x:c>
      <x:c r="K104" s="23" t="str">
        <x:v>Windows+Ubuntu</x:v>
      </x:c>
      <x:c r="L104" s="23" t="str">
        <x:v>未测试</x:v>
      </x:c>
      <x:c r="M104" s="23" t="str"/>
      <x:c r="N104" s="23" t="str"/>
      <x:c r="O104" s="23" t="str"/>
      <x:c r="P104" s="23" t="str"/>
    </x:row>
    <x:row r="105">
      <x:c r="A105" s="23" t="str">
        <x:v>TC-104</x:v>
      </x:c>
      <x:c r="B105" s="23" t="str">
        <x:v>FR-013/FR-018</x:v>
      </x:c>
      <x:c r="C105" s="23" t="str">
        <x:v>日志与诊断</x:v>
      </x:c>
      <x:c r="D105" s="23" t="str">
        <x:v>集成</x:v>
      </x:c>
      <x:c r="E105" s="23" t="str">
        <x:v>高频进度日志</x:v>
      </x:c>
      <x:c r="F105" s="23" t="str">
        <x:v>应用已运行并产生日志</x:v>
      </x:c>
      <x:c r="G105" s="23" t="str">
        <x:v>执行日志操作或注入条件</x:v>
      </x:c>
      <x:c r="H105" s="23" t="str">
        <x:v>限频生效，不淹没 UI</x:v>
      </x:c>
      <x:c r="I105" s="23" t="str">
        <x:v>P1</x:v>
      </x:c>
      <x:c r="J105" s="23" t="str">
        <x:v>部分自动化</x:v>
      </x:c>
      <x:c r="K105" s="23" t="str">
        <x:v>Windows+Ubuntu</x:v>
      </x:c>
      <x:c r="L105" s="23" t="str">
        <x:v>未测试</x:v>
      </x:c>
      <x:c r="M105" s="23" t="str"/>
      <x:c r="N105" s="23" t="str"/>
      <x:c r="O105" s="23" t="str"/>
      <x:c r="P105" s="23" t="str"/>
    </x:row>
    <x:row r="106">
      <x:c r="A106" s="23" t="str">
        <x:v>TC-105</x:v>
      </x:c>
      <x:c r="B106" s="23" t="str">
        <x:v>FR-013/FR-018</x:v>
      </x:c>
      <x:c r="C106" s="23" t="str">
        <x:v>日志与诊断</x:v>
      </x:c>
      <x:c r="D106" s="23" t="str">
        <x:v>集成</x:v>
      </x:c>
      <x:c r="E106" s="23" t="str">
        <x:v>日志线程异常</x:v>
      </x:c>
      <x:c r="F106" s="23" t="str">
        <x:v>应用已运行并产生日志</x:v>
      </x:c>
      <x:c r="G106" s="23" t="str">
        <x:v>执行日志操作或注入条件</x:v>
      </x:c>
      <x:c r="H106" s="23" t="str">
        <x:v>业务任务不被直接破坏，产生诊断</x:v>
      </x:c>
      <x:c r="I106" s="23" t="str">
        <x:v>P0</x:v>
      </x:c>
      <x:c r="J106" s="23" t="str">
        <x:v>部分自动化</x:v>
      </x:c>
      <x:c r="K106" s="23" t="str">
        <x:v>Windows+Ubuntu</x:v>
      </x:c>
      <x:c r="L106" s="23" t="str">
        <x:v>未测试</x:v>
      </x:c>
      <x:c r="M106" s="23" t="str"/>
      <x:c r="N106" s="23" t="str"/>
      <x:c r="O106" s="23" t="str"/>
      <x:c r="P106" s="23" t="str"/>
    </x:row>
    <x:row r="107">
      <x:c r="A107" s="23" t="str">
        <x:v>TC-106</x:v>
      </x:c>
      <x:c r="B107" s="23" t="str">
        <x:v>FR-014/FR-019</x:v>
      </x:c>
      <x:c r="C107" s="23" t="str">
        <x:v>文件详情</x:v>
      </x:c>
      <x:c r="D107" s="23" t="str">
        <x:v>UI/集成</x:v>
      </x:c>
      <x:c r="E107" s="23" t="str">
        <x:v>详情显示书名与分类</x:v>
      </x:c>
      <x:c r="F107" s="23" t="str">
        <x:v>已定位到测试教材</x:v>
      </x:c>
      <x:c r="G107" s="23" t="str">
        <x:v>打开详情并执行对应操作</x:v>
      </x:c>
      <x:c r="H107" s="23" t="str">
        <x:v>与 Book 模型一致</x:v>
      </x:c>
      <x:c r="I107" s="23" t="str">
        <x:v>P1</x:v>
      </x:c>
      <x:c r="J107" s="23" t="str">
        <x:v>部分自动化</x:v>
      </x:c>
      <x:c r="K107" s="23" t="str">
        <x:v>Windows+Ubuntu</x:v>
      </x:c>
      <x:c r="L107" s="23" t="str">
        <x:v>未测试</x:v>
      </x:c>
      <x:c r="M107" s="23" t="str"/>
      <x:c r="N107" s="23" t="str"/>
      <x:c r="O107" s="23" t="str"/>
      <x:c r="P107" s="23" t="str"/>
    </x:row>
    <x:row r="108">
      <x:c r="A108" s="23" t="str">
        <x:v>TC-107</x:v>
      </x:c>
      <x:c r="B108" s="23" t="str">
        <x:v>FR-014/FR-019</x:v>
      </x:c>
      <x:c r="C108" s="23" t="str">
        <x:v>文件详情</x:v>
      </x:c>
      <x:c r="D108" s="23" t="str">
        <x:v>UI/集成</x:v>
      </x:c>
      <x:c r="E108" s="23" t="str">
        <x:v>详情显示分卷数量和源路径</x:v>
      </x:c>
      <x:c r="F108" s="23" t="str">
        <x:v>已定位到测试教材</x:v>
      </x:c>
      <x:c r="G108" s="23" t="str">
        <x:v>打开详情并执行对应操作</x:v>
      </x:c>
      <x:c r="H108" s="23" t="str">
        <x:v>普通 PDF 为1，分卷数准确</x:v>
      </x:c>
      <x:c r="I108" s="23" t="str">
        <x:v>P1</x:v>
      </x:c>
      <x:c r="J108" s="23" t="str">
        <x:v>部分自动化</x:v>
      </x:c>
      <x:c r="K108" s="23" t="str">
        <x:v>Windows+Ubuntu</x:v>
      </x:c>
      <x:c r="L108" s="23" t="str">
        <x:v>未测试</x:v>
      </x:c>
      <x:c r="M108" s="23" t="str"/>
      <x:c r="N108" s="23" t="str"/>
      <x:c r="O108" s="23" t="str"/>
      <x:c r="P108" s="23" t="str"/>
    </x:row>
    <x:row r="109">
      <x:c r="A109" s="23" t="str">
        <x:v>TC-108</x:v>
      </x:c>
      <x:c r="B109" s="23" t="str">
        <x:v>FR-014/FR-019</x:v>
      </x:c>
      <x:c r="C109" s="23" t="str">
        <x:v>文件详情</x:v>
      </x:c>
      <x:c r="D109" s="23" t="str">
        <x:v>UI/集成</x:v>
      </x:c>
      <x:c r="E109" s="23" t="str">
        <x:v>详情显示预计/实际大小</x:v>
      </x:c>
      <x:c r="F109" s="23" t="str">
        <x:v>已定位到测试教材</x:v>
      </x:c>
      <x:c r="G109" s="23" t="str">
        <x:v>打开详情并执行对应操作</x:v>
      </x:c>
      <x:c r="H109" s="23" t="str">
        <x:v>未知时显示未知，不猜测</x:v>
      </x:c>
      <x:c r="I109" s="23" t="str">
        <x:v>P1</x:v>
      </x:c>
      <x:c r="J109" s="23" t="str">
        <x:v>部分自动化</x:v>
      </x:c>
      <x:c r="K109" s="23" t="str">
        <x:v>Windows+Ubuntu</x:v>
      </x:c>
      <x:c r="L109" s="23" t="str">
        <x:v>未测试</x:v>
      </x:c>
      <x:c r="M109" s="23" t="str"/>
      <x:c r="N109" s="23" t="str"/>
      <x:c r="O109" s="23" t="str"/>
      <x:c r="P109" s="23" t="str"/>
    </x:row>
    <x:row r="110">
      <x:c r="A110" s="23" t="str">
        <x:v>TC-109</x:v>
      </x:c>
      <x:c r="B110" s="23" t="str">
        <x:v>FR-014/FR-019</x:v>
      </x:c>
      <x:c r="C110" s="23" t="str">
        <x:v>文件详情</x:v>
      </x:c>
      <x:c r="D110" s="23" t="str">
        <x:v>UI/集成</x:v>
      </x:c>
      <x:c r="E110" s="23" t="str">
        <x:v>详情显示 SHA256</x:v>
      </x:c>
      <x:c r="F110" s="23" t="str">
        <x:v>已定位到测试教材</x:v>
      </x:c>
      <x:c r="G110" s="23" t="str">
        <x:v>打开详情并执行对应操作</x:v>
      </x:c>
      <x:c r="H110" s="23" t="str">
        <x:v>仅已验证时展示可信哈希</x:v>
      </x:c>
      <x:c r="I110" s="23" t="str">
        <x:v>P1</x:v>
      </x:c>
      <x:c r="J110" s="23" t="str">
        <x:v>部分自动化</x:v>
      </x:c>
      <x:c r="K110" s="23" t="str">
        <x:v>Windows+Ubuntu</x:v>
      </x:c>
      <x:c r="L110" s="23" t="str">
        <x:v>未测试</x:v>
      </x:c>
      <x:c r="M110" s="23" t="str"/>
      <x:c r="N110" s="23" t="str"/>
      <x:c r="O110" s="23" t="str"/>
      <x:c r="P110" s="23" t="str"/>
    </x:row>
    <x:row r="111">
      <x:c r="A111" s="23" t="str">
        <x:v>TC-110</x:v>
      </x:c>
      <x:c r="B111" s="23" t="str">
        <x:v>FR-014/FR-019</x:v>
      </x:c>
      <x:c r="C111" s="23" t="str">
        <x:v>文件详情</x:v>
      </x:c>
      <x:c r="D111" s="23" t="str">
        <x:v>UI/集成</x:v>
      </x:c>
      <x:c r="E111" s="23" t="str">
        <x:v>O 打开已下载 PDF</x:v>
      </x:c>
      <x:c r="F111" s="23" t="str">
        <x:v>已定位到测试教材</x:v>
      </x:c>
      <x:c r="G111" s="23" t="str">
        <x:v>打开详情并执行对应操作</x:v>
      </x:c>
      <x:c r="H111" s="23" t="str">
        <x:v>使用平台默认查看器</x:v>
      </x:c>
      <x:c r="I111" s="23" t="str">
        <x:v>P1</x:v>
      </x:c>
      <x:c r="J111" s="23" t="str">
        <x:v>部分自动化</x:v>
      </x:c>
      <x:c r="K111" s="23" t="str">
        <x:v>Windows+Ubuntu</x:v>
      </x:c>
      <x:c r="L111" s="23" t="str">
        <x:v>未测试</x:v>
      </x:c>
      <x:c r="M111" s="23" t="str"/>
      <x:c r="N111" s="23" t="str"/>
      <x:c r="O111" s="23" t="str"/>
      <x:c r="P111" s="23" t="str"/>
    </x:row>
    <x:row r="112">
      <x:c r="A112" s="23" t="str">
        <x:v>TC-111</x:v>
      </x:c>
      <x:c r="B112" s="23" t="str">
        <x:v>FR-014/FR-019</x:v>
      </x:c>
      <x:c r="C112" s="23" t="str">
        <x:v>文件详情</x:v>
      </x:c>
      <x:c r="D112" s="23" t="str">
        <x:v>UI/集成</x:v>
      </x:c>
      <x:c r="E112" s="23" t="str">
        <x:v>O 打开未下载 PDF</x:v>
      </x:c>
      <x:c r="F112" s="23" t="str">
        <x:v>已定位到测试教材</x:v>
      </x:c>
      <x:c r="G112" s="23" t="str">
        <x:v>打开详情并执行对应操作</x:v>
      </x:c>
      <x:c r="H112" s="23" t="str">
        <x:v>提示文件不存在</x:v>
      </x:c>
      <x:c r="I112" s="23" t="str">
        <x:v>P1</x:v>
      </x:c>
      <x:c r="J112" s="23" t="str">
        <x:v>部分自动化</x:v>
      </x:c>
      <x:c r="K112" s="23" t="str">
        <x:v>Windows+Ubuntu</x:v>
      </x:c>
      <x:c r="L112" s="23" t="str">
        <x:v>未测试</x:v>
      </x:c>
      <x:c r="M112" s="23" t="str"/>
      <x:c r="N112" s="23" t="str"/>
      <x:c r="O112" s="23" t="str"/>
      <x:c r="P112" s="23" t="str"/>
    </x:row>
    <x:row r="113">
      <x:c r="A113" s="23" t="str">
        <x:v>TC-112</x:v>
      </x:c>
      <x:c r="B113" s="23" t="str">
        <x:v>FR-014/FR-019</x:v>
      </x:c>
      <x:c r="C113" s="23" t="str">
        <x:v>文件详情</x:v>
      </x:c>
      <x:c r="D113" s="23" t="str">
        <x:v>UI/集成</x:v>
      </x:c>
      <x:c r="E113" s="23" t="str">
        <x:v>L 打开所在目录</x:v>
      </x:c>
      <x:c r="F113" s="23" t="str">
        <x:v>已定位到测试教材</x:v>
      </x:c>
      <x:c r="G113" s="23" t="str">
        <x:v>打开详情并执行对应操作</x:v>
      </x:c>
      <x:c r="H113" s="23" t="str">
        <x:v>Windows/Ubuntu 均能定位</x:v>
      </x:c>
      <x:c r="I113" s="23" t="str">
        <x:v>P1</x:v>
      </x:c>
      <x:c r="J113" s="23" t="str">
        <x:v>部分自动化</x:v>
      </x:c>
      <x:c r="K113" s="23" t="str">
        <x:v>Windows+Ubuntu</x:v>
      </x:c>
      <x:c r="L113" s="23" t="str">
        <x:v>未测试</x:v>
      </x:c>
      <x:c r="M113" s="23" t="str"/>
      <x:c r="N113" s="23" t="str"/>
      <x:c r="O113" s="23" t="str"/>
      <x:c r="P113" s="23" t="str"/>
    </x:row>
    <x:row r="114">
      <x:c r="A114" s="23" t="str">
        <x:v>TC-113</x:v>
      </x:c>
      <x:c r="B114" s="23" t="str">
        <x:v>FR-014/FR-019</x:v>
      </x:c>
      <x:c r="C114" s="23" t="str">
        <x:v>文件详情</x:v>
      </x:c>
      <x:c r="D114" s="23" t="str">
        <x:v>UI/集成</x:v>
      </x:c>
      <x:c r="E114" s="23" t="str">
        <x:v>V 重新验证</x:v>
      </x:c>
      <x:c r="F114" s="23" t="str">
        <x:v>已定位到测试教材</x:v>
      </x:c>
      <x:c r="G114" s="23" t="str">
        <x:v>打开详情并执行对应操作</x:v>
      </x:c>
      <x:c r="H114" s="23" t="str">
        <x:v>创建独立 verify 任务</x:v>
      </x:c>
      <x:c r="I114" s="23" t="str">
        <x:v>P1</x:v>
      </x:c>
      <x:c r="J114" s="23" t="str">
        <x:v>部分自动化</x:v>
      </x:c>
      <x:c r="K114" s="23" t="str">
        <x:v>Windows+Ubuntu</x:v>
      </x:c>
      <x:c r="L114" s="23" t="str">
        <x:v>未测试</x:v>
      </x:c>
      <x:c r="M114" s="23" t="str"/>
      <x:c r="N114" s="23" t="str"/>
      <x:c r="O114" s="23" t="str"/>
      <x:c r="P114" s="23" t="str"/>
    </x:row>
    <x:row r="115">
      <x:c r="A115" s="23" t="str">
        <x:v>TC-114</x:v>
      </x:c>
      <x:c r="B115" s="23" t="str">
        <x:v>FR-014/FR-019</x:v>
      </x:c>
      <x:c r="C115" s="23" t="str">
        <x:v>文件详情</x:v>
      </x:c>
      <x:c r="D115" s="23" t="str">
        <x:v>UI/集成</x:v>
      </x:c>
      <x:c r="E115" s="23" t="str">
        <x:v>R 重新下载</x:v>
      </x:c>
      <x:c r="F115" s="23" t="str">
        <x:v>已定位到测试教材</x:v>
      </x:c>
      <x:c r="G115" s="23" t="str">
        <x:v>打开详情并执行对应操作</x:v>
      </x:c>
      <x:c r="H115" s="23" t="str">
        <x:v>创建新 task_id，不复用旧终态任务</x:v>
      </x:c>
      <x:c r="I115" s="23" t="str">
        <x:v>P1</x:v>
      </x:c>
      <x:c r="J115" s="23" t="str">
        <x:v>部分自动化</x:v>
      </x:c>
      <x:c r="K115" s="23" t="str">
        <x:v>Windows+Ubuntu</x:v>
      </x:c>
      <x:c r="L115" s="23" t="str">
        <x:v>未测试</x:v>
      </x:c>
      <x:c r="M115" s="23" t="str"/>
      <x:c r="N115" s="23" t="str"/>
      <x:c r="O115" s="23" t="str"/>
      <x:c r="P115" s="23" t="str"/>
    </x:row>
    <x:row r="116">
      <x:c r="A116" s="23" t="str">
        <x:v>TC-115</x:v>
      </x:c>
      <x:c r="B116" s="23" t="str">
        <x:v>FR-014/FR-019</x:v>
      </x:c>
      <x:c r="C116" s="23" t="str">
        <x:v>文件详情</x:v>
      </x:c>
      <x:c r="D116" s="23" t="str">
        <x:v>UI/集成</x:v>
      </x:c>
      <x:c r="E116" s="23" t="str">
        <x:v>Delete 从选择中移除</x:v>
      </x:c>
      <x:c r="F116" s="23" t="str">
        <x:v>已定位到测试教材</x:v>
      </x:c>
      <x:c r="G116" s="23" t="str">
        <x:v>打开详情并执行对应操作</x:v>
      </x:c>
      <x:c r="H116" s="23" t="str">
        <x:v>只取消选择，不删除本地文件</x:v>
      </x:c>
      <x:c r="I116" s="23" t="str">
        <x:v>P1</x:v>
      </x:c>
      <x:c r="J116" s="23" t="str">
        <x:v>部分自动化</x:v>
      </x:c>
      <x:c r="K116" s="23" t="str">
        <x:v>Windows+Ubuntu</x:v>
      </x:c>
      <x:c r="L116" s="23" t="str">
        <x:v>未测试</x:v>
      </x:c>
      <x:c r="M116" s="23" t="str"/>
      <x:c r="N116" s="23" t="str"/>
      <x:c r="O116" s="23" t="str"/>
      <x:c r="P116" s="23" t="str"/>
    </x:row>
    <x:row r="117">
      <x:c r="A117" s="23" t="str">
        <x:v>TC-116</x:v>
      </x:c>
      <x:c r="B117" s="23" t="str">
        <x:v>FR-015/FR-016</x:v>
      </x:c>
      <x:c r="C117" s="23" t="str">
        <x:v>更新</x:v>
      </x:c>
      <x:c r="D117" s="23" t="str">
        <x:v>集成</x:v>
      </x:c>
      <x:c r="E117" s="23" t="str">
        <x:v>软件无新版本</x:v>
      </x:c>
      <x:c r="F117" s="23" t="str">
        <x:v>准备模拟 Release 或仓库提交差异</x:v>
      </x:c>
      <x:c r="G117" s="23" t="str">
        <x:v>执行 F9 更新检查</x:v>
      </x:c>
      <x:c r="H117" s="23" t="str">
        <x:v>静默完成或显示已是最新版</x:v>
      </x:c>
      <x:c r="I117" s="23" t="str">
        <x:v>P1</x:v>
      </x:c>
      <x:c r="J117" s="23" t="str">
        <x:v>适合自动化</x:v>
      </x:c>
      <x:c r="K117" s="23" t="str">
        <x:v>Windows+Ubuntu</x:v>
      </x:c>
      <x:c r="L117" s="23" t="str">
        <x:v>未测试</x:v>
      </x:c>
      <x:c r="M117" s="23" t="str"/>
      <x:c r="N117" s="23" t="str"/>
      <x:c r="O117" s="23" t="str"/>
      <x:c r="P117" s="23" t="str"/>
    </x:row>
    <x:row r="118">
      <x:c r="A118" s="23" t="str">
        <x:v>TC-117</x:v>
      </x:c>
      <x:c r="B118" s="23" t="str">
        <x:v>FR-015/FR-016</x:v>
      </x:c>
      <x:c r="C118" s="23" t="str">
        <x:v>更新</x:v>
      </x:c>
      <x:c r="D118" s="23" t="str">
        <x:v>集成</x:v>
      </x:c>
      <x:c r="E118" s="23" t="str">
        <x:v>发现软件新版本</x:v>
      </x:c>
      <x:c r="F118" s="23" t="str">
        <x:v>准备模拟 Release 或仓库提交差异</x:v>
      </x:c>
      <x:c r="G118" s="23" t="str">
        <x:v>执行 F9 更新检查</x:v>
      </x:c>
      <x:c r="H118" s="23" t="str">
        <x:v>非阻塞提示版本、摘要和操作</x:v>
      </x:c>
      <x:c r="I118" s="23" t="str">
        <x:v>P1</x:v>
      </x:c>
      <x:c r="J118" s="23" t="str">
        <x:v>适合自动化</x:v>
      </x:c>
      <x:c r="K118" s="23" t="str">
        <x:v>Windows+Ubuntu</x:v>
      </x:c>
      <x:c r="L118" s="23" t="str">
        <x:v>未测试</x:v>
      </x:c>
      <x:c r="M118" s="23" t="str"/>
      <x:c r="N118" s="23" t="str"/>
      <x:c r="O118" s="23" t="str"/>
      <x:c r="P118" s="23" t="str"/>
    </x:row>
    <x:row r="119">
      <x:c r="A119" s="23" t="str">
        <x:v>TC-118</x:v>
      </x:c>
      <x:c r="B119" s="23" t="str">
        <x:v>FR-015/FR-016</x:v>
      </x:c>
      <x:c r="C119" s="23" t="str">
        <x:v>更新</x:v>
      </x:c>
      <x:c r="D119" s="23" t="str">
        <x:v>集成</x:v>
      </x:c>
      <x:c r="E119" s="23" t="str">
        <x:v>忽略指定软件版本</x:v>
      </x:c>
      <x:c r="F119" s="23" t="str">
        <x:v>准备模拟 Release 或仓库提交差异</x:v>
      </x:c>
      <x:c r="G119" s="23" t="str">
        <x:v>执行 F9 更新检查</x:v>
      </x:c>
      <x:c r="H119" s="23" t="str">
        <x:v>后续不重复提示该版本</x:v>
      </x:c>
      <x:c r="I119" s="23" t="str">
        <x:v>P1</x:v>
      </x:c>
      <x:c r="J119" s="23" t="str">
        <x:v>适合自动化</x:v>
      </x:c>
      <x:c r="K119" s="23" t="str">
        <x:v>Windows+Ubuntu</x:v>
      </x:c>
      <x:c r="L119" s="23" t="str">
        <x:v>未测试</x:v>
      </x:c>
      <x:c r="M119" s="23" t="str"/>
      <x:c r="N119" s="23" t="str"/>
      <x:c r="O119" s="23" t="str"/>
      <x:c r="P119" s="23" t="str"/>
    </x:row>
    <x:row r="120">
      <x:c r="A120" s="23" t="str">
        <x:v>TC-119</x:v>
      </x:c>
      <x:c r="B120" s="23" t="str">
        <x:v>FR-015/FR-016</x:v>
      </x:c>
      <x:c r="C120" s="23" t="str">
        <x:v>更新</x:v>
      </x:c>
      <x:c r="D120" s="23" t="str">
        <x:v>集成</x:v>
      </x:c>
      <x:c r="E120" s="23" t="str">
        <x:v>GitHub Releases API 超时</x:v>
      </x:c>
      <x:c r="F120" s="23" t="str">
        <x:v>准备模拟 Release 或仓库提交差异</x:v>
      </x:c>
      <x:c r="G120" s="23" t="str">
        <x:v>执行 F9 更新检查</x:v>
      </x:c>
      <x:c r="H120" s="23" t="str">
        <x:v>有限重试，失败不影响主功能</x:v>
      </x:c>
      <x:c r="I120" s="23" t="str">
        <x:v>P0</x:v>
      </x:c>
      <x:c r="J120" s="23" t="str">
        <x:v>适合自动化</x:v>
      </x:c>
      <x:c r="K120" s="23" t="str">
        <x:v>Windows+Ubuntu</x:v>
      </x:c>
      <x:c r="L120" s="23" t="str">
        <x:v>未测试</x:v>
      </x:c>
      <x:c r="M120" s="23" t="str"/>
      <x:c r="N120" s="23" t="str"/>
      <x:c r="O120" s="23" t="str"/>
      <x:c r="P120" s="23" t="str"/>
    </x:row>
    <x:row r="121">
      <x:c r="A121" s="23" t="str">
        <x:v>TC-120</x:v>
      </x:c>
      <x:c r="B121" s="23" t="str">
        <x:v>FR-015/FR-016</x:v>
      </x:c>
      <x:c r="C121" s="23" t="str">
        <x:v>更新</x:v>
      </x:c>
      <x:c r="D121" s="23" t="str">
        <x:v>集成</x:v>
      </x:c>
      <x:c r="E121" s="23" t="str">
        <x:v>教材仓库无变化</x:v>
      </x:c>
      <x:c r="F121" s="23" t="str">
        <x:v>准备模拟 Release 或仓库提交差异</x:v>
      </x:c>
      <x:c r="G121" s="23" t="str">
        <x:v>执行 F9 更新检查</x:v>
      </x:c>
      <x:c r="H121" s="23" t="str">
        <x:v>显示无更新</x:v>
      </x:c>
      <x:c r="I121" s="23" t="str">
        <x:v>P1</x:v>
      </x:c>
      <x:c r="J121" s="23" t="str">
        <x:v>适合自动化</x:v>
      </x:c>
      <x:c r="K121" s="23" t="str">
        <x:v>Windows+Ubuntu</x:v>
      </x:c>
      <x:c r="L121" s="23" t="str">
        <x:v>未测试</x:v>
      </x:c>
      <x:c r="M121" s="23" t="str"/>
      <x:c r="N121" s="23" t="str"/>
      <x:c r="O121" s="23" t="str"/>
      <x:c r="P121" s="23" t="str"/>
    </x:row>
    <x:row r="122">
      <x:c r="A122" s="23" t="str">
        <x:v>TC-121</x:v>
      </x:c>
      <x:c r="B122" s="23" t="str">
        <x:v>FR-015/FR-016</x:v>
      </x:c>
      <x:c r="C122" s="23" t="str">
        <x:v>更新</x:v>
      </x:c>
      <x:c r="D122" s="23" t="str">
        <x:v>集成</x:v>
      </x:c>
      <x:c r="E122" s="23" t="str">
        <x:v>新增教材</x:v>
      </x:c>
      <x:c r="F122" s="23" t="str">
        <x:v>准备模拟 Release 或仓库提交差异</x:v>
      </x:c>
      <x:c r="G122" s="23" t="str">
        <x:v>执行 F9 更新检查</x:v>
      </x:c>
      <x:c r="H122" s="23" t="str">
        <x:v>变更摘要标记新增</x:v>
      </x:c>
      <x:c r="I122" s="23" t="str">
        <x:v>P1</x:v>
      </x:c>
      <x:c r="J122" s="23" t="str">
        <x:v>适合自动化</x:v>
      </x:c>
      <x:c r="K122" s="23" t="str">
        <x:v>Windows+Ubuntu</x:v>
      </x:c>
      <x:c r="L122" s="23" t="str">
        <x:v>未测试</x:v>
      </x:c>
      <x:c r="M122" s="23" t="str"/>
      <x:c r="N122" s="23" t="str"/>
      <x:c r="O122" s="23" t="str"/>
      <x:c r="P122" s="23" t="str"/>
    </x:row>
    <x:row r="123">
      <x:c r="A123" s="23" t="str">
        <x:v>TC-122</x:v>
      </x:c>
      <x:c r="B123" s="23" t="str">
        <x:v>FR-015/FR-016</x:v>
      </x:c>
      <x:c r="C123" s="23" t="str">
        <x:v>更新</x:v>
      </x:c>
      <x:c r="D123" s="23" t="str">
        <x:v>集成</x:v>
      </x:c>
      <x:c r="E123" s="23" t="str">
        <x:v>教材内容修改</x:v>
      </x:c>
      <x:c r="F123" s="23" t="str">
        <x:v>准备模拟 Release 或仓库提交差异</x:v>
      </x:c>
      <x:c r="G123" s="23" t="str">
        <x:v>执行 F9 更新检查</x:v>
      </x:c>
      <x:c r="H123" s="23" t="str">
        <x:v>标记更新并允许更新已选教材</x:v>
      </x:c>
      <x:c r="I123" s="23" t="str">
        <x:v>P1</x:v>
      </x:c>
      <x:c r="J123" s="23" t="str">
        <x:v>适合自动化</x:v>
      </x:c>
      <x:c r="K123" s="23" t="str">
        <x:v>Windows+Ubuntu</x:v>
      </x:c>
      <x:c r="L123" s="23" t="str">
        <x:v>未测试</x:v>
      </x:c>
      <x:c r="M123" s="23" t="str"/>
      <x:c r="N123" s="23" t="str"/>
      <x:c r="O123" s="23" t="str"/>
      <x:c r="P123" s="23" t="str"/>
    </x:row>
    <x:row r="124">
      <x:c r="A124" s="23" t="str">
        <x:v>TC-123</x:v>
      </x:c>
      <x:c r="B124" s="23" t="str">
        <x:v>FR-015/FR-016</x:v>
      </x:c>
      <x:c r="C124" s="23" t="str">
        <x:v>更新</x:v>
      </x:c>
      <x:c r="D124" s="23" t="str">
        <x:v>集成</x:v>
      </x:c>
      <x:c r="E124" s="23" t="str">
        <x:v>教材删除</x:v>
      </x:c>
      <x:c r="F124" s="23" t="str">
        <x:v>准备模拟 Release 或仓库提交差异</x:v>
      </x:c>
      <x:c r="G124" s="23" t="str">
        <x:v>执行 F9 更新检查</x:v>
      </x:c>
      <x:c r="H124" s="23" t="str">
        <x:v>标记删除/结构变化，不自动删本地可信文件</x:v>
      </x:c>
      <x:c r="I124" s="23" t="str">
        <x:v>P0</x:v>
      </x:c>
      <x:c r="J124" s="23" t="str">
        <x:v>适合自动化</x:v>
      </x:c>
      <x:c r="K124" s="23" t="str">
        <x:v>Windows+Ubuntu</x:v>
      </x:c>
      <x:c r="L124" s="23" t="str">
        <x:v>未测试</x:v>
      </x:c>
      <x:c r="M124" s="23" t="str"/>
      <x:c r="N124" s="23" t="str"/>
      <x:c r="O124" s="23" t="str"/>
      <x:c r="P124" s="23" t="str"/>
    </x:row>
    <x:row r="125">
      <x:c r="A125" s="23" t="str">
        <x:v>TC-124</x:v>
      </x:c>
      <x:c r="B125" s="23" t="str">
        <x:v>FR-015/FR-016</x:v>
      </x:c>
      <x:c r="C125" s="23" t="str">
        <x:v>更新</x:v>
      </x:c>
      <x:c r="D125" s="23" t="str">
        <x:v>集成</x:v>
      </x:c>
      <x:c r="E125" s="23" t="str">
        <x:v>分卷结构变化</x:v>
      </x:c>
      <x:c r="F125" s="23" t="str">
        <x:v>准备模拟 Release 或仓库提交差异</x:v>
      </x:c>
      <x:c r="G125" s="23" t="str">
        <x:v>执行 F9 更新检查</x:v>
      </x:c>
      <x:c r="H125" s="23" t="str">
        <x:v>分类为结构变化并 fail-closed</x:v>
      </x:c>
      <x:c r="I125" s="23" t="str">
        <x:v>P0</x:v>
      </x:c>
      <x:c r="J125" s="23" t="str">
        <x:v>适合自动化</x:v>
      </x:c>
      <x:c r="K125" s="23" t="str">
        <x:v>Windows+Ubuntu</x:v>
      </x:c>
      <x:c r="L125" s="23" t="str">
        <x:v>未测试</x:v>
      </x:c>
      <x:c r="M125" s="23" t="str"/>
      <x:c r="N125" s="23" t="str"/>
      <x:c r="O125" s="23" t="str"/>
      <x:c r="P125" s="23" t="str"/>
    </x:row>
    <x:row r="126">
      <x:c r="A126" s="23" t="str">
        <x:v>TC-125</x:v>
      </x:c>
      <x:c r="B126" s="23" t="str">
        <x:v>FR-015/FR-016</x:v>
      </x:c>
      <x:c r="C126" s="23" t="str">
        <x:v>更新</x:v>
      </x:c>
      <x:c r="D126" s="23" t="str">
        <x:v>集成</x:v>
      </x:c>
      <x:c r="E126" s="23" t="str">
        <x:v>比较基线不可用</x:v>
      </x:c>
      <x:c r="F126" s="23" t="str">
        <x:v>准备模拟 Release 或仓库提交差异</x:v>
      </x:c>
      <x:c r="G126" s="23" t="str">
        <x:v>执行 F9 更新检查</x:v>
      </x:c>
      <x:c r="H126" s="23" t="str">
        <x:v>停止自动判断并提示刷新仓库</x:v>
      </x:c>
      <x:c r="I126" s="23" t="str">
        <x:v>P0</x:v>
      </x:c>
      <x:c r="J126" s="23" t="str">
        <x:v>适合自动化</x:v>
      </x:c>
      <x:c r="K126" s="23" t="str">
        <x:v>Windows+Ubuntu</x:v>
      </x:c>
      <x:c r="L126" s="23" t="str">
        <x:v>未测试</x:v>
      </x:c>
      <x:c r="M126" s="23" t="str"/>
      <x:c r="N126" s="23" t="str"/>
      <x:c r="O126" s="23" t="str"/>
      <x:c r="P126" s="23" t="str"/>
    </x:row>
    <x:row r="127">
      <x:c r="A127" s="23" t="str">
        <x:v>TC-126</x:v>
      </x:c>
      <x:c r="B127" s="23" t="str">
        <x:v>FR-020/安全要求</x:v>
      </x:c>
      <x:c r="C127" s="23" t="str">
        <x:v>状态与安全</x:v>
      </x:c>
      <x:c r="D127" s="23" t="str">
        <x:v>安全/集成</x:v>
      </x:c>
      <x:c r="E127" s="23" t="str">
        <x:v>state.json 正常加载</x:v>
      </x:c>
      <x:c r="F127" s="23" t="str">
        <x:v>准备对应状态、路径或恶意输入</x:v>
      </x:c>
      <x:c r="G127" s="23" t="str">
        <x:v>启动或执行相关操作</x:v>
      </x:c>
      <x:c r="H127" s="23" t="str">
        <x:v>所有字段通过 Schema 与业务校验</x:v>
      </x:c>
      <x:c r="I127" s="23" t="str">
        <x:v>P0</x:v>
      </x:c>
      <x:c r="J127" s="23" t="str">
        <x:v>适合自动化</x:v>
      </x:c>
      <x:c r="K127" s="23" t="str">
        <x:v>Windows+Ubuntu</x:v>
      </x:c>
      <x:c r="L127" s="23" t="str">
        <x:v>未测试</x:v>
      </x:c>
      <x:c r="M127" s="23" t="str"/>
      <x:c r="N127" s="23" t="str"/>
      <x:c r="O127" s="23" t="str"/>
      <x:c r="P127" s="23" t="str"/>
    </x:row>
    <x:row r="128">
      <x:c r="A128" s="23" t="str">
        <x:v>TC-127</x:v>
      </x:c>
      <x:c r="B128" s="23" t="str">
        <x:v>FR-020/安全要求</x:v>
      </x:c>
      <x:c r="C128" s="23" t="str">
        <x:v>状态与安全</x:v>
      </x:c>
      <x:c r="D128" s="23" t="str">
        <x:v>安全/集成</x:v>
      </x:c>
      <x:c r="E128" s="23" t="str">
        <x:v>state.json 半写损坏</x:v>
      </x:c>
      <x:c r="F128" s="23" t="str">
        <x:v>准备对应状态、路径或恶意输入</x:v>
      </x:c>
      <x:c r="G128" s="23" t="str">
        <x:v>启动或执行相关操作</x:v>
      </x:c>
      <x:c r="H128" s="23" t="str">
        <x:v>保留主文件，尝试有效备份或进入安全模式</x:v>
      </x:c>
      <x:c r="I128" s="23" t="str">
        <x:v>P0</x:v>
      </x:c>
      <x:c r="J128" s="23" t="str">
        <x:v>适合自动化</x:v>
      </x:c>
      <x:c r="K128" s="23" t="str">
        <x:v>Windows+Ubuntu</x:v>
      </x:c>
      <x:c r="L128" s="23" t="str">
        <x:v>未测试</x:v>
      </x:c>
      <x:c r="M128" s="23" t="str"/>
      <x:c r="N128" s="23" t="str"/>
      <x:c r="O128" s="23" t="str"/>
      <x:c r="P128" s="23" t="str"/>
    </x:row>
    <x:row r="129">
      <x:c r="A129" s="23" t="str">
        <x:v>TC-128</x:v>
      </x:c>
      <x:c r="B129" s="23" t="str">
        <x:v>FR-020/安全要求</x:v>
      </x:c>
      <x:c r="C129" s="23" t="str">
        <x:v>状态与安全</x:v>
      </x:c>
      <x:c r="D129" s="23" t="str">
        <x:v>安全/集成</x:v>
      </x:c>
      <x:c r="E129" s="23" t="str">
        <x:v>备份也损坏</x:v>
      </x:c>
      <x:c r="F129" s="23" t="str">
        <x:v>准备对应状态、路径或恶意输入</x:v>
      </x:c>
      <x:c r="G129" s="23" t="str">
        <x:v>启动或执行相关操作</x:v>
      </x:c>
      <x:c r="H129" s="23" t="str">
        <x:v>进入安全模式，不猜测恢复</x:v>
      </x:c>
      <x:c r="I129" s="23" t="str">
        <x:v>P0</x:v>
      </x:c>
      <x:c r="J129" s="23" t="str">
        <x:v>适合自动化</x:v>
      </x:c>
      <x:c r="K129" s="23" t="str">
        <x:v>Windows+Ubuntu</x:v>
      </x:c>
      <x:c r="L129" s="23" t="str">
        <x:v>未测试</x:v>
      </x:c>
      <x:c r="M129" s="23" t="str"/>
      <x:c r="N129" s="23" t="str"/>
      <x:c r="O129" s="23" t="str"/>
      <x:c r="P129" s="23" t="str"/>
    </x:row>
    <x:row r="130">
      <x:c r="A130" s="23" t="str">
        <x:v>TC-129</x:v>
      </x:c>
      <x:c r="B130" s="23" t="str">
        <x:v>FR-020/安全要求</x:v>
      </x:c>
      <x:c r="C130" s="23" t="str">
        <x:v>状态与安全</x:v>
      </x:c>
      <x:c r="D130" s="23" t="str">
        <x:v>安全/集成</x:v>
      </x:c>
      <x:c r="E130" s="23" t="str">
        <x:v>原子写入 os.replace 失败</x:v>
      </x:c>
      <x:c r="F130" s="23" t="str">
        <x:v>准备对应状态、路径或恶意输入</x:v>
      </x:c>
      <x:c r="G130" s="23" t="str">
        <x:v>启动或执行相关操作</x:v>
      </x:c>
      <x:c r="H130" s="23" t="str">
        <x:v>旧状态保持有效</x:v>
      </x:c>
      <x:c r="I130" s="23" t="str">
        <x:v>P0</x:v>
      </x:c>
      <x:c r="J130" s="23" t="str">
        <x:v>适合自动化</x:v>
      </x:c>
      <x:c r="K130" s="23" t="str">
        <x:v>Windows+Ubuntu</x:v>
      </x:c>
      <x:c r="L130" s="23" t="str">
        <x:v>未测试</x:v>
      </x:c>
      <x:c r="M130" s="23" t="str"/>
      <x:c r="N130" s="23" t="str"/>
      <x:c r="O130" s="23" t="str"/>
      <x:c r="P130" s="23" t="str"/>
    </x:row>
    <x:row r="131">
      <x:c r="A131" s="23" t="str">
        <x:v>TC-130</x:v>
      </x:c>
      <x:c r="B131" s="23" t="str">
        <x:v>FR-020/安全要求</x:v>
      </x:c>
      <x:c r="C131" s="23" t="str">
        <x:v>状态与安全</x:v>
      </x:c>
      <x:c r="D131" s="23" t="str">
        <x:v>安全/集成</x:v>
      </x:c>
      <x:c r="E131" s="23" t="str">
        <x:v>遗留 pending 任务</x:v>
      </x:c>
      <x:c r="F131" s="23" t="str">
        <x:v>准备对应状态、路径或恶意输入</x:v>
      </x:c>
      <x:c r="G131" s="23" t="str">
        <x:v>启动或执行相关操作</x:v>
      </x:c>
      <x:c r="H131" s="23" t="str">
        <x:v>启动校正为 interrupted</x:v>
      </x:c>
      <x:c r="I131" s="23" t="str">
        <x:v>P0</x:v>
      </x:c>
      <x:c r="J131" s="23" t="str">
        <x:v>适合自动化</x:v>
      </x:c>
      <x:c r="K131" s="23" t="str">
        <x:v>Windows+Ubuntu</x:v>
      </x:c>
      <x:c r="L131" s="23" t="str">
        <x:v>未测试</x:v>
      </x:c>
      <x:c r="M131" s="23" t="str"/>
      <x:c r="N131" s="23" t="str"/>
      <x:c r="O131" s="23" t="str"/>
      <x:c r="P131" s="23" t="str"/>
    </x:row>
    <x:row r="132">
      <x:c r="A132" s="23" t="str">
        <x:v>TC-131</x:v>
      </x:c>
      <x:c r="B132" s="23" t="str">
        <x:v>FR-020/安全要求</x:v>
      </x:c>
      <x:c r="C132" s="23" t="str">
        <x:v>状态与安全</x:v>
      </x:c>
      <x:c r="D132" s="23" t="str">
        <x:v>安全/集成</x:v>
      </x:c>
      <x:c r="E132" s="23" t="str">
        <x:v>遗留 running 任务</x:v>
      </x:c>
      <x:c r="F132" s="23" t="str">
        <x:v>准备对应状态、路径或恶意输入</x:v>
      </x:c>
      <x:c r="G132" s="23" t="str">
        <x:v>启动或执行相关操作</x:v>
      </x:c>
      <x:c r="H132" s="23" t="str">
        <x:v>启动校正为 interrupted</x:v>
      </x:c>
      <x:c r="I132" s="23" t="str">
        <x:v>P0</x:v>
      </x:c>
      <x:c r="J132" s="23" t="str">
        <x:v>适合自动化</x:v>
      </x:c>
      <x:c r="K132" s="23" t="str">
        <x:v>Windows+Ubuntu</x:v>
      </x:c>
      <x:c r="L132" s="23" t="str">
        <x:v>未测试</x:v>
      </x:c>
      <x:c r="M132" s="23" t="str"/>
      <x:c r="N132" s="23" t="str"/>
      <x:c r="O132" s="23" t="str"/>
      <x:c r="P132" s="23" t="str"/>
    </x:row>
    <x:row r="133">
      <x:c r="A133" s="23" t="str">
        <x:v>TC-132</x:v>
      </x:c>
      <x:c r="B133" s="23" t="str">
        <x:v>FR-020/安全要求</x:v>
      </x:c>
      <x:c r="C133" s="23" t="str">
        <x:v>状态与安全</x:v>
      </x:c>
      <x:c r="D133" s="23" t="str">
        <x:v>安全/集成</x:v>
      </x:c>
      <x:c r="E133" s="23" t="str">
        <x:v>遗留 cancelling 任务</x:v>
      </x:c>
      <x:c r="F133" s="23" t="str">
        <x:v>准备对应状态、路径或恶意输入</x:v>
      </x:c>
      <x:c r="G133" s="23" t="str">
        <x:v>启动或执行相关操作</x:v>
      </x:c>
      <x:c r="H133" s="23" t="str">
        <x:v>启动校正为 interrupted</x:v>
      </x:c>
      <x:c r="I133" s="23" t="str">
        <x:v>P0</x:v>
      </x:c>
      <x:c r="J133" s="23" t="str">
        <x:v>适合自动化</x:v>
      </x:c>
      <x:c r="K133" s="23" t="str">
        <x:v>Windows+Ubuntu</x:v>
      </x:c>
      <x:c r="L133" s="23" t="str">
        <x:v>未测试</x:v>
      </x:c>
      <x:c r="M133" s="23" t="str"/>
      <x:c r="N133" s="23" t="str"/>
      <x:c r="O133" s="23" t="str"/>
      <x:c r="P133" s="23" t="str"/>
    </x:row>
    <x:row r="134">
      <x:c r="A134" s="23" t="str">
        <x:v>TC-133</x:v>
      </x:c>
      <x:c r="B134" s="23" t="str">
        <x:v>FR-020/安全要求</x:v>
      </x:c>
      <x:c r="C134" s="23" t="str">
        <x:v>状态与安全</x:v>
      </x:c>
      <x:c r="D134" s="23" t="str">
        <x:v>安全/集成</x:v>
      </x:c>
      <x:c r="E134" s="23" t="str">
        <x:v>旧 completed 任务</x:v>
      </x:c>
      <x:c r="F134" s="23" t="str">
        <x:v>准备对应状态、路径或恶意输入</x:v>
      </x:c>
      <x:c r="G134" s="23" t="str">
        <x:v>启动或执行相关操作</x:v>
      </x:c>
      <x:c r="H134" s="23" t="str">
        <x:v>保持终态，不重复执行</x:v>
      </x:c>
      <x:c r="I134" s="23" t="str">
        <x:v>P0</x:v>
      </x:c>
      <x:c r="J134" s="23" t="str">
        <x:v>适合自动化</x:v>
      </x:c>
      <x:c r="K134" s="23" t="str">
        <x:v>Windows+Ubuntu</x:v>
      </x:c>
      <x:c r="L134" s="23" t="str">
        <x:v>未测试</x:v>
      </x:c>
      <x:c r="M134" s="23" t="str"/>
      <x:c r="N134" s="23" t="str"/>
      <x:c r="O134" s="23" t="str"/>
      <x:c r="P134" s="23" t="str"/>
    </x:row>
    <x:row r="135">
      <x:c r="A135" s="23" t="str">
        <x:v>TC-134</x:v>
      </x:c>
      <x:c r="B135" s="23" t="str">
        <x:v>FR-020/安全要求</x:v>
      </x:c>
      <x:c r="C135" s="23" t="str">
        <x:v>状态与安全</x:v>
      </x:c>
      <x:c r="D135" s="23" t="str">
        <x:v>安全/集成</x:v>
      </x:c>
      <x:c r="E135" s="23" t="str">
        <x:v>路径穿越 ../</x:v>
      </x:c>
      <x:c r="F135" s="23" t="str">
        <x:v>准备对应状态、路径或恶意输入</x:v>
      </x:c>
      <x:c r="G135" s="23" t="str">
        <x:v>启动或执行相关操作</x:v>
      </x:c>
      <x:c r="H135" s="23" t="str">
        <x:v>拒绝处理并记录安全错误</x:v>
      </x:c>
      <x:c r="I135" s="23" t="str">
        <x:v>P0</x:v>
      </x:c>
      <x:c r="J135" s="23" t="str">
        <x:v>适合自动化</x:v>
      </x:c>
      <x:c r="K135" s="23" t="str">
        <x:v>Windows+Ubuntu</x:v>
      </x:c>
      <x:c r="L135" s="23" t="str">
        <x:v>未测试</x:v>
      </x:c>
      <x:c r="M135" s="23" t="str"/>
      <x:c r="N135" s="23" t="str"/>
      <x:c r="O135" s="23" t="str"/>
      <x:c r="P135" s="23" t="str"/>
    </x:row>
    <x:row r="136">
      <x:c r="A136" s="23" t="str">
        <x:v>TC-135</x:v>
      </x:c>
      <x:c r="B136" s="23" t="str">
        <x:v>FR-020/安全要求</x:v>
      </x:c>
      <x:c r="C136" s="23" t="str">
        <x:v>状态与安全</x:v>
      </x:c>
      <x:c r="D136" s="23" t="str">
        <x:v>安全/集成</x:v>
      </x:c>
      <x:c r="E136" s="23" t="str">
        <x:v>绝对路径注入</x:v>
      </x:c>
      <x:c r="F136" s="23" t="str">
        <x:v>准备对应状态、路径或恶意输入</x:v>
      </x:c>
      <x:c r="G136" s="23" t="str">
        <x:v>启动或执行相关操作</x:v>
      </x:c>
      <x:c r="H136" s="23" t="str">
        <x:v>拒绝越出受控目录</x:v>
      </x:c>
      <x:c r="I136" s="23" t="str">
        <x:v>P0</x:v>
      </x:c>
      <x:c r="J136" s="23" t="str">
        <x:v>适合自动化</x:v>
      </x:c>
      <x:c r="K136" s="23" t="str">
        <x:v>Windows+Ubuntu</x:v>
      </x:c>
      <x:c r="L136" s="23" t="str">
        <x:v>未测试</x:v>
      </x:c>
      <x:c r="M136" s="23" t="str"/>
      <x:c r="N136" s="23" t="str"/>
      <x:c r="O136" s="23" t="str"/>
      <x:c r="P136" s="23" t="str"/>
    </x:row>
    <x:row r="137">
      <x:c r="A137" s="23" t="str">
        <x:v>TC-136</x:v>
      </x:c>
      <x:c r="B137" s="23" t="str">
        <x:v>FR-020/安全要求</x:v>
      </x:c>
      <x:c r="C137" s="23" t="str">
        <x:v>状态与安全</x:v>
      </x:c>
      <x:c r="D137" s="23" t="str">
        <x:v>安全/集成</x:v>
      </x:c>
      <x:c r="E137" s="23" t="str">
        <x:v>符号链接指向输出目录外</x:v>
      </x:c>
      <x:c r="F137" s="23" t="str">
        <x:v>准备对应状态、路径或恶意输入</x:v>
      </x:c>
      <x:c r="G137" s="23" t="str">
        <x:v>启动或执行相关操作</x:v>
      </x:c>
      <x:c r="H137" s="23" t="str">
        <x:v>拒绝危险写入/删除</x:v>
      </x:c>
      <x:c r="I137" s="23" t="str">
        <x:v>P0</x:v>
      </x:c>
      <x:c r="J137" s="23" t="str">
        <x:v>适合自动化</x:v>
      </x:c>
      <x:c r="K137" s="23" t="str">
        <x:v>Windows+Ubuntu</x:v>
      </x:c>
      <x:c r="L137" s="23" t="str">
        <x:v>未测试</x:v>
      </x:c>
      <x:c r="M137" s="23" t="str"/>
      <x:c r="N137" s="23" t="str"/>
      <x:c r="O137" s="23" t="str"/>
      <x:c r="P137" s="23" t="str"/>
    </x:row>
    <x:row r="138">
      <x:c r="A138" s="23" t="str">
        <x:v>TC-137</x:v>
      </x:c>
      <x:c r="B138" s="23" t="str">
        <x:v>FR-020/安全要求</x:v>
      </x:c>
      <x:c r="C138" s="23" t="str">
        <x:v>状态与安全</x:v>
      </x:c>
      <x:c r="D138" s="23" t="str">
        <x:v>安全/集成</x:v>
      </x:c>
      <x:c r="E138" s="23" t="str">
        <x:v>删除范围包含其他 Book</x:v>
      </x:c>
      <x:c r="F138" s="23" t="str">
        <x:v>准备对应状态、路径或恶意输入</x:v>
      </x:c>
      <x:c r="G138" s="23" t="str">
        <x:v>启动或执行相关操作</x:v>
      </x:c>
      <x:c r="H138" s="23" t="str">
        <x:v>clean 操作被阻止</x:v>
      </x:c>
      <x:c r="I138" s="23" t="str">
        <x:v>P0</x:v>
      </x:c>
      <x:c r="J138" s="23" t="str">
        <x:v>适合自动化</x:v>
      </x:c>
      <x:c r="K138" s="23" t="str">
        <x:v>Windows+Ubuntu</x:v>
      </x:c>
      <x:c r="L138" s="23" t="str">
        <x:v>未测试</x:v>
      </x:c>
      <x:c r="M138" s="23" t="str"/>
      <x:c r="N138" s="23" t="str"/>
      <x:c r="O138" s="23" t="str"/>
      <x:c r="P138" s="23" t="str"/>
    </x:row>
    <x:row r="139">
      <x:c r="A139" s="23" t="str">
        <x:v>TC-138</x:v>
      </x:c>
      <x:c r="B139" s="23" t="str">
        <x:v>FR-020/安全要求</x:v>
      </x:c>
      <x:c r="C139" s="23" t="str">
        <x:v>状态与安全</x:v>
      </x:c>
      <x:c r="D139" s="23" t="str">
        <x:v>安全/集成</x:v>
      </x:c>
      <x:c r="E139" s="23" t="str">
        <x:v>日志注入换行</x:v>
      </x:c>
      <x:c r="F139" s="23" t="str">
        <x:v>准备对应状态、路径或恶意输入</x:v>
      </x:c>
      <x:c r="G139" s="23" t="str">
        <x:v>启动或执行相关操作</x:v>
      </x:c>
      <x:c r="H139" s="23" t="str">
        <x:v>日志结构保持可解析</x:v>
      </x:c>
      <x:c r="I139" s="23" t="str">
        <x:v>P0</x:v>
      </x:c>
      <x:c r="J139" s="23" t="str">
        <x:v>适合自动化</x:v>
      </x:c>
      <x:c r="K139" s="23" t="str">
        <x:v>Windows+Ubuntu</x:v>
      </x:c>
      <x:c r="L139" s="23" t="str">
        <x:v>未测试</x:v>
      </x:c>
      <x:c r="M139" s="23" t="str"/>
      <x:c r="N139" s="23" t="str"/>
      <x:c r="O139" s="23" t="str"/>
      <x:c r="P139" s="23" t="str"/>
    </x:row>
    <x:row r="140">
      <x:c r="A140" s="23" t="str">
        <x:v>TC-139</x:v>
      </x:c>
      <x:c r="B140" s="23" t="str">
        <x:v>FR-020/安全要求</x:v>
      </x:c>
      <x:c r="C140" s="23" t="str">
        <x:v>状态与安全</x:v>
      </x:c>
      <x:c r="D140" s="23" t="str">
        <x:v>安全/集成</x:v>
      </x:c>
      <x:c r="E140" s="23" t="str">
        <x:v>恶意超长文件名</x:v>
      </x:c>
      <x:c r="F140" s="23" t="str">
        <x:v>准备对应状态、路径或恶意输入</x:v>
      </x:c>
      <x:c r="G140" s="23" t="str">
        <x:v>启动或执行相关操作</x:v>
      </x:c>
      <x:c r="H140" s="23" t="str">
        <x:v>安全显示并限制资源消耗</x:v>
      </x:c>
      <x:c r="I140" s="23" t="str">
        <x:v>P0</x:v>
      </x:c>
      <x:c r="J140" s="23" t="str">
        <x:v>适合自动化</x:v>
      </x:c>
      <x:c r="K140" s="23" t="str">
        <x:v>Windows+Ubuntu</x:v>
      </x:c>
      <x:c r="L140" s="23" t="str">
        <x:v>未测试</x:v>
      </x:c>
      <x:c r="M140" s="23" t="str"/>
      <x:c r="N140" s="23" t="str"/>
      <x:c r="O140" s="23" t="str"/>
      <x:c r="P140" s="23" t="str"/>
    </x:row>
    <x:row r="141">
      <x:c r="A141" s="23" t="str">
        <x:v>TC-140</x:v>
      </x:c>
      <x:c r="B141" s="23" t="str">
        <x:v>FR-020/安全要求</x:v>
      </x:c>
      <x:c r="C141" s="23" t="str">
        <x:v>状态与安全</x:v>
      </x:c>
      <x:c r="D141" s="23" t="str">
        <x:v>安全/集成</x:v>
      </x:c>
      <x:c r="E141" s="23" t="str">
        <x:v>配置文件未知字段</x:v>
      </x:c>
      <x:c r="F141" s="23" t="str">
        <x:v>准备对应状态、路径或恶意输入</x:v>
      </x:c>
      <x:c r="G141" s="23" t="str">
        <x:v>启动或执行相关操作</x:v>
      </x:c>
      <x:c r="H141" s="23" t="str">
        <x:v>按策略拒绝或警告，不静默误用</x:v>
      </x:c>
      <x:c r="I141" s="23" t="str">
        <x:v>P0</x:v>
      </x:c>
      <x:c r="J141" s="23" t="str">
        <x:v>适合自动化</x:v>
      </x:c>
      <x:c r="K141" s="23" t="str">
        <x:v>Windows+Ubuntu</x:v>
      </x:c>
      <x:c r="L141" s="23" t="str">
        <x:v>未测试</x:v>
      </x:c>
      <x:c r="M141" s="23" t="str"/>
      <x:c r="N141" s="23" t="str"/>
      <x:c r="O141" s="23" t="str"/>
      <x:c r="P141" s="23" t="str"/>
    </x:row>
    <x:row r="142">
      <x:c r="A142" s="23" t="str">
        <x:v>TC-141</x:v>
      </x:c>
      <x:c r="B142" s="23" t="str">
        <x:v>NFR</x:v>
      </x:c>
      <x:c r="C142" s="23" t="str">
        <x:v>性能与稳定性</x:v>
      </x:c>
      <x:c r="D142" s="23" t="str">
        <x:v>性能/可靠性</x:v>
      </x:c>
      <x:c r="E142" s="23" t="str">
        <x:v>目录含 10,000 本教材</x:v>
      </x:c>
      <x:c r="F142" s="23" t="str">
        <x:v>构造压力或慢速环境</x:v>
      </x:c>
      <x:c r="G142" s="23" t="str">
        <x:v>执行压力测试并采集指标</x:v>
      </x:c>
      <x:c r="H142" s="23" t="str">
        <x:v>初次索引和搜索满足性能目标</x:v>
      </x:c>
      <x:c r="I142" s="23" t="str">
        <x:v>P1</x:v>
      </x:c>
      <x:c r="J142" s="23" t="str">
        <x:v>自动化</x:v>
      </x:c>
      <x:c r="K142" s="23" t="str">
        <x:v>Windows+Ubuntu</x:v>
      </x:c>
      <x:c r="L142" s="23" t="str">
        <x:v>未测试</x:v>
      </x:c>
      <x:c r="M142" s="23" t="str"/>
      <x:c r="N142" s="23" t="str"/>
      <x:c r="O142" s="23" t="str"/>
      <x:c r="P142" s="23" t="str"/>
    </x:row>
    <x:row r="143">
      <x:c r="A143" s="23" t="str">
        <x:v>TC-142</x:v>
      </x:c>
      <x:c r="B143" s="23" t="str">
        <x:v>NFR</x:v>
      </x:c>
      <x:c r="C143" s="23" t="str">
        <x:v>性能与稳定性</x:v>
      </x:c>
      <x:c r="D143" s="23" t="str">
        <x:v>性能/可靠性</x:v>
      </x:c>
      <x:c r="E143" s="23" t="str">
        <x:v>已选 1,000 本教材</x:v>
      </x:c>
      <x:c r="F143" s="23" t="str">
        <x:v>构造压力或慢速环境</x:v>
      </x:c>
      <x:c r="G143" s="23" t="str">
        <x:v>执行压力测试并采集指标</x:v>
      </x:c>
      <x:c r="H143" s="23" t="str">
        <x:v>选择摘要和计划生成无明显冻结</x:v>
      </x:c>
      <x:c r="I143" s="23" t="str">
        <x:v>P1</x:v>
      </x:c>
      <x:c r="J143" s="23" t="str">
        <x:v>自动化</x:v>
      </x:c>
      <x:c r="K143" s="23" t="str">
        <x:v>Windows+Ubuntu</x:v>
      </x:c>
      <x:c r="L143" s="23" t="str">
        <x:v>未测试</x:v>
      </x:c>
      <x:c r="M143" s="23" t="str"/>
      <x:c r="N143" s="23" t="str"/>
      <x:c r="O143" s="23" t="str"/>
      <x:c r="P143" s="23" t="str"/>
    </x:row>
    <x:row r="144">
      <x:c r="A144" s="23" t="str">
        <x:v>TC-143</x:v>
      </x:c>
      <x:c r="B144" s="23" t="str">
        <x:v>NFR</x:v>
      </x:c>
      <x:c r="C144" s="23" t="str">
        <x:v>性能与稳定性</x:v>
      </x:c>
      <x:c r="D144" s="23" t="str">
        <x:v>性能/可靠性</x:v>
      </x:c>
      <x:c r="E144" s="23" t="str">
        <x:v>日志持续 1 小时</x:v>
      </x:c>
      <x:c r="F144" s="23" t="str">
        <x:v>构造压力或慢速环境</x:v>
      </x:c>
      <x:c r="G144" s="23" t="str">
        <x:v>执行压力测试并采集指标</x:v>
      </x:c>
      <x:c r="H144" s="23" t="str">
        <x:v>内存缓冲受控，日志轮转正常</x:v>
      </x:c>
      <x:c r="I144" s="23" t="str">
        <x:v>P1</x:v>
      </x:c>
      <x:c r="J144" s="23" t="str">
        <x:v>自动化</x:v>
      </x:c>
      <x:c r="K144" s="23" t="str">
        <x:v>Windows+Ubuntu</x:v>
      </x:c>
      <x:c r="L144" s="23" t="str">
        <x:v>未测试</x:v>
      </x:c>
      <x:c r="M144" s="23" t="str"/>
      <x:c r="N144" s="23" t="str"/>
      <x:c r="O144" s="23" t="str"/>
      <x:c r="P144" s="23" t="str"/>
    </x:row>
    <x:row r="145">
      <x:c r="A145" s="23" t="str">
        <x:v>TC-144</x:v>
      </x:c>
      <x:c r="B145" s="23" t="str">
        <x:v>NFR</x:v>
      </x:c>
      <x:c r="C145" s="23" t="str">
        <x:v>性能与稳定性</x:v>
      </x:c>
      <x:c r="D145" s="23" t="str">
        <x:v>性能/可靠性</x:v>
      </x:c>
      <x:c r="E145" s="23" t="str">
        <x:v>连续执行 50 个任务</x:v>
      </x:c>
      <x:c r="F145" s="23" t="str">
        <x:v>构造压力或慢速环境</x:v>
      </x:c>
      <x:c r="G145" s="23" t="str">
        <x:v>执行压力测试并采集指标</x:v>
      </x:c>
      <x:c r="H145" s="23" t="str">
        <x:v>队列、资源锁和状态持久化稳定</x:v>
      </x:c>
      <x:c r="I145" s="23" t="str">
        <x:v>P1</x:v>
      </x:c>
      <x:c r="J145" s="23" t="str">
        <x:v>自动化</x:v>
      </x:c>
      <x:c r="K145" s="23" t="str">
        <x:v>Windows+Ubuntu</x:v>
      </x:c>
      <x:c r="L145" s="23" t="str">
        <x:v>未测试</x:v>
      </x:c>
      <x:c r="M145" s="23" t="str"/>
      <x:c r="N145" s="23" t="str"/>
      <x:c r="O145" s="23" t="str"/>
      <x:c r="P145" s="23" t="str"/>
    </x:row>
    <x:row r="146">
      <x:c r="A146" s="23" t="str">
        <x:v>TC-145</x:v>
      </x:c>
      <x:c r="B146" s="23" t="str">
        <x:v>NFR</x:v>
      </x:c>
      <x:c r="C146" s="23" t="str">
        <x:v>性能与稳定性</x:v>
      </x:c>
      <x:c r="D146" s="23" t="str">
        <x:v>性能/可靠性</x:v>
      </x:c>
      <x:c r="E146" s="23" t="str">
        <x:v>取消与完成竞态</x:v>
      </x:c>
      <x:c r="F146" s="23" t="str">
        <x:v>构造压力或慢速环境</x:v>
      </x:c>
      <x:c r="G146" s="23" t="str">
        <x:v>执行压力测试并采集指标</x:v>
      </x:c>
      <x:c r="H146" s="23" t="str">
        <x:v>CAS 阻止 cancelled/completed 相互覆盖</x:v>
      </x:c>
      <x:c r="I146" s="23" t="str">
        <x:v>P0</x:v>
      </x:c>
      <x:c r="J146" s="23" t="str">
        <x:v>自动化</x:v>
      </x:c>
      <x:c r="K146" s="23" t="str">
        <x:v>Windows+Ubuntu</x:v>
      </x:c>
      <x:c r="L146" s="23" t="str">
        <x:v>未测试</x:v>
      </x:c>
      <x:c r="M146" s="23" t="str"/>
      <x:c r="N146" s="23" t="str"/>
      <x:c r="O146" s="23" t="str"/>
      <x:c r="P146" s="23" t="str"/>
    </x:row>
    <x:row r="147">
      <x:c r="A147" s="23" t="str">
        <x:v>TC-146</x:v>
      </x:c>
      <x:c r="B147" s="23" t="str">
        <x:v>NFR</x:v>
      </x:c>
      <x:c r="C147" s="23" t="str">
        <x:v>性能与稳定性</x:v>
      </x:c>
      <x:c r="D147" s="23" t="str">
        <x:v>性能/可靠性</x:v>
      </x:c>
      <x:c r="E147" s="23" t="str">
        <x:v>UI 高频切换页面</x:v>
      </x:c>
      <x:c r="F147" s="23" t="str">
        <x:v>构造压力或慢速环境</x:v>
      </x:c>
      <x:c r="G147" s="23" t="str">
        <x:v>执行压力测试并采集指标</x:v>
      </x:c>
      <x:c r="H147" s="23" t="str">
        <x:v>无事件丢失、无崩溃</x:v>
      </x:c>
      <x:c r="I147" s="23" t="str">
        <x:v>P1</x:v>
      </x:c>
      <x:c r="J147" s="23" t="str">
        <x:v>自动化</x:v>
      </x:c>
      <x:c r="K147" s="23" t="str">
        <x:v>Windows+Ubuntu</x:v>
      </x:c>
      <x:c r="L147" s="23" t="str">
        <x:v>未测试</x:v>
      </x:c>
      <x:c r="M147" s="23" t="str"/>
      <x:c r="N147" s="23" t="str"/>
      <x:c r="O147" s="23" t="str"/>
      <x:c r="P147" s="23" t="str"/>
    </x:row>
    <x:row r="148">
      <x:c r="A148" s="23" t="str">
        <x:v>TC-147</x:v>
      </x:c>
      <x:c r="B148" s="23" t="str">
        <x:v>NFR</x:v>
      </x:c>
      <x:c r="C148" s="23" t="str">
        <x:v>性能与稳定性</x:v>
      </x:c>
      <x:c r="D148" s="23" t="str">
        <x:v>性能/可靠性</x:v>
      </x:c>
      <x:c r="E148" s="23" t="str">
        <x:v>系统时间回拨</x:v>
      </x:c>
      <x:c r="F148" s="23" t="str">
        <x:v>构造压力或慢速环境</x:v>
      </x:c>
      <x:c r="G148" s="23" t="str">
        <x:v>执行压力测试并采集指标</x:v>
      </x:c>
      <x:c r="H148" s="23" t="str">
        <x:v>任务排序与状态不被破坏</x:v>
      </x:c>
      <x:c r="I148" s="23" t="str">
        <x:v>P1</x:v>
      </x:c>
      <x:c r="J148" s="23" t="str">
        <x:v>自动化</x:v>
      </x:c>
      <x:c r="K148" s="23" t="str">
        <x:v>Windows+Ubuntu</x:v>
      </x:c>
      <x:c r="L148" s="23" t="str">
        <x:v>未测试</x:v>
      </x:c>
      <x:c r="M148" s="23" t="str"/>
      <x:c r="N148" s="23" t="str"/>
      <x:c r="O148" s="23" t="str"/>
      <x:c r="P148" s="23" t="str"/>
    </x:row>
    <x:row r="149">
      <x:c r="A149" s="23" t="str">
        <x:v>TC-148</x:v>
      </x:c>
      <x:c r="B149" s="23" t="str">
        <x:v>NFR</x:v>
      </x:c>
      <x:c r="C149" s="23" t="str">
        <x:v>性能与稳定性</x:v>
      </x:c>
      <x:c r="D149" s="23" t="str">
        <x:v>性能/可靠性</x:v>
      </x:c>
      <x:c r="E149" s="23" t="str">
        <x:v>网络慢速 100KB/s</x:v>
      </x:c>
      <x:c r="F149" s="23" t="str">
        <x:v>构造压力或慢速环境</x:v>
      </x:c>
      <x:c r="G149" s="23" t="str">
        <x:v>执行压力测试并采集指标</x:v>
      </x:c>
      <x:c r="H149" s="23" t="str">
        <x:v>进度与 ETA 平滑且可取消</x:v>
      </x:c>
      <x:c r="I149" s="23" t="str">
        <x:v>P1</x:v>
      </x:c>
      <x:c r="J149" s="23" t="str">
        <x:v>自动化</x:v>
      </x:c>
      <x:c r="K149" s="23" t="str">
        <x:v>Windows+Ubuntu</x:v>
      </x:c>
      <x:c r="L149" s="23" t="str">
        <x:v>未测试</x:v>
      </x:c>
      <x:c r="M149" s="23" t="str"/>
      <x:c r="N149" s="23" t="str"/>
      <x:c r="O149" s="23" t="str"/>
      <x:c r="P149" s="23" t="str"/>
    </x:row>
  </x:sheetData>
  <x:conditionalFormatting sqref="L2:L149">
    <x:cfRule type="expression" dxfId="0" priority="1">
      <x:formula>INDIRECT("RC",FALSE)="通过"</x:formula>
    </x:cfRule>
    <x:cfRule type="expression" dxfId="1" priority="2">
      <x:formula>INDIRECT("RC",FALSE)="失败"</x:formula>
    </x:cfRule>
    <x:cfRule type="expression" dxfId="2" priority="3">
      <x:formula>INDIRECT("RC",FALSE)="阻塞"</x:formula>
    </x:cfRule>
  </x:conditionalFormatting>
  <x:dataValidations count="1">
    <x:dataValidation type="list" sqref="L2:L149">
      <x:formula1>"未测试,通过,失败,阻塞,不适用"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0ad230b11d4a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38" hidden="0" customWidth="1"/>
    <x:col min="5" max="5" width="10" hidden="0" customWidth="1"/>
    <x:col min="6" max="6" width="12" hidden="0" customWidth="1"/>
    <x:col min="7" max="7" width="12" hidden="0" customWidth="1"/>
    <x:col min="8" max="8" width="13" hidden="0" customWidth="1"/>
    <x:col min="9" max="9" width="25" hidden="0" customWidth="1"/>
  </x:cols>
  <x:sheetData>
    <x:row r="1">
      <x:c r="A1" s="28" t="str">
        <x:v>UAT编号</x:v>
      </x:c>
      <x:c r="B1" s="28" t="str">
        <x:v>场景</x:v>
      </x:c>
      <x:c r="C1" s="28" t="str">
        <x:v>操作步骤</x:v>
      </x:c>
      <x:c r="D1" s="28" t="str">
        <x:v>验收结果</x:v>
      </x:c>
      <x:c r="E1" s="28" t="str">
        <x:v>优先级</x:v>
      </x:c>
      <x:c r="F1" s="28" t="str">
        <x:v>状态</x:v>
      </x:c>
      <x:c r="G1" s="28" t="str">
        <x:v>验收人</x:v>
      </x:c>
      <x:c r="H1" s="28" t="str">
        <x:v>日期</x:v>
      </x:c>
      <x:c r="I1" s="28" t="str">
        <x:v>备注</x:v>
      </x:c>
    </x:row>
    <x:row r="2">
      <x:c r="A2" s="23" t="str">
        <x:v>UAT-001</x:v>
      </x:c>
      <x:c r="B2" s="23" t="str">
        <x:v>Windows 首次安装</x:v>
      </x:c>
      <x:c r="C2" s="23" t="str">
        <x:v>安装 EXE；启动；完成环境诊断</x:v>
      </x:c>
      <x:c r="D2" s="23" t="str">
        <x:v>成功进入主浏览界面</x:v>
      </x:c>
      <x:c r="E2" s="23" t="str">
        <x:v>P0</x:v>
      </x:c>
      <x:c r="F2" s="23" t="str">
        <x:v>未测试</x:v>
      </x:c>
      <x:c r="G2" s="23" t="str"/>
      <x:c r="H2" s="23" t="str"/>
      <x:c r="I2" s="23" t="str"/>
    </x:row>
    <x:row r="3">
      <x:c r="A3" s="23" t="str">
        <x:v>UAT-002</x:v>
      </x:c>
      <x:c r="B3" s="23" t="str">
        <x:v>Ubuntu 安装</x:v>
      </x:c>
      <x:c r="C3" s="23" t="str">
        <x:v>pipx/wheel 安装；运行 ctb</x:v>
      </x:c>
      <x:c r="D3" s="23" t="str">
        <x:v>成功进入主浏览界面</x:v>
      </x:c>
      <x:c r="E3" s="23" t="str">
        <x:v>P0</x:v>
      </x:c>
      <x:c r="F3" s="23" t="str">
        <x:v>未测试</x:v>
      </x:c>
      <x:c r="G3" s="23" t="str"/>
      <x:c r="H3" s="23" t="str"/>
      <x:c r="I3" s="23" t="str"/>
    </x:row>
    <x:row r="4">
      <x:c r="A4" s="23" t="str">
        <x:v>UAT-003</x:v>
      </x:c>
      <x:c r="B4" s="23" t="str">
        <x:v>按层级浏览教材</x:v>
      </x:c>
      <x:c r="C4" s="23" t="str">
        <x:v>依次展开学段、科目、年级</x:v>
      </x:c>
      <x:c r="D4" s="23" t="str">
        <x:v>能找到并查看具体教材</x:v>
      </x:c>
      <x:c r="E4" s="23" t="str">
        <x:v>P0</x:v>
      </x:c>
      <x:c r="F4" s="23" t="str">
        <x:v>未测试</x:v>
      </x:c>
      <x:c r="G4" s="23" t="str"/>
      <x:c r="H4" s="23" t="str"/>
      <x:c r="I4" s="23" t="str"/>
    </x:row>
    <x:row r="5">
      <x:c r="A5" s="23" t="str">
        <x:v>UAT-004</x:v>
      </x:c>
      <x:c r="B5" s="23" t="str">
        <x:v>选择普通 PDF 教材</x:v>
      </x:c>
      <x:c r="C5" s="23" t="str">
        <x:v>Space 选择；F2 查看</x:v>
      </x:c>
      <x:c r="D5" s="23" t="str">
        <x:v>已选数量、文件数和大小正确</x:v>
      </x:c>
      <x:c r="E5" s="23" t="str">
        <x:v>P0</x:v>
      </x:c>
      <x:c r="F5" s="23" t="str">
        <x:v>未测试</x:v>
      </x:c>
      <x:c r="G5" s="23" t="str"/>
      <x:c r="H5" s="23" t="str"/>
      <x:c r="I5" s="23" t="str"/>
    </x:row>
    <x:row r="6">
      <x:c r="A6" s="23" t="str">
        <x:v>UAT-005</x:v>
      </x:c>
      <x:c r="B6" s="23" t="str">
        <x:v>选择分卷教材</x:v>
      </x:c>
      <x:c r="C6" s="23" t="str">
        <x:v>选择分卷教材；查看详情</x:v>
      </x:c>
      <x:c r="D6" s="23" t="str">
        <x:v>只显示一本书，分卷数量正确</x:v>
      </x:c>
      <x:c r="E6" s="23" t="str">
        <x:v>P0</x:v>
      </x:c>
      <x:c r="F6" s="23" t="str">
        <x:v>未测试</x:v>
      </x:c>
      <x:c r="G6" s="23" t="str"/>
      <x:c r="H6" s="23" t="str"/>
      <x:c r="I6" s="23" t="str"/>
    </x:row>
    <x:row r="7">
      <x:c r="A7" s="23" t="str">
        <x:v>UAT-006</x:v>
      </x:c>
      <x:c r="B7" s="23" t="str">
        <x:v>搜索教材</x:v>
      </x:c>
      <x:c r="C7" s="23" t="str">
        <x:v>输入中文和多关键词</x:v>
      </x:c>
      <x:c r="D7" s="23" t="str">
        <x:v>结果准确，可选择或定位</x:v>
      </x:c>
      <x:c r="E7" s="23" t="str">
        <x:v>P1</x:v>
      </x:c>
      <x:c r="F7" s="23" t="str">
        <x:v>未测试</x:v>
      </x:c>
      <x:c r="G7" s="23" t="str"/>
      <x:c r="H7" s="23" t="str"/>
      <x:c r="I7" s="23" t="str"/>
    </x:row>
    <x:row r="8">
      <x:c r="A8" s="23" t="str">
        <x:v>UAT-007</x:v>
      </x:c>
      <x:c r="B8" s="23" t="str">
        <x:v>下载普通教材</x:v>
      </x:c>
      <x:c r="C8" s="23" t="str">
        <x:v>选择并 F5 下载</x:v>
      </x:c>
      <x:c r="D8" s="23" t="str">
        <x:v>下载、验证、状态均成功</x:v>
      </x:c>
      <x:c r="E8" s="23" t="str">
        <x:v>P0</x:v>
      </x:c>
      <x:c r="F8" s="23" t="str">
        <x:v>未测试</x:v>
      </x:c>
      <x:c r="G8" s="23" t="str"/>
      <x:c r="H8" s="23" t="str"/>
      <x:c r="I8" s="23" t="str"/>
    </x:row>
    <x:row r="9">
      <x:c r="A9" s="23" t="str">
        <x:v>UAT-008</x:v>
      </x:c>
      <x:c r="B9" s="23" t="str">
        <x:v>下载分卷教材</x:v>
      </x:c>
      <x:c r="C9" s="23" t="str">
        <x:v>选择并 F5 下载</x:v>
      </x:c>
      <x:c r="D9" s="23" t="str">
        <x:v>分卷按序合并并通过验证</x:v>
      </x:c>
      <x:c r="E9" s="23" t="str">
        <x:v>P0</x:v>
      </x:c>
      <x:c r="F9" s="23" t="str">
        <x:v>未测试</x:v>
      </x:c>
      <x:c r="G9" s="23" t="str"/>
      <x:c r="H9" s="23" t="str"/>
      <x:c r="I9" s="23" t="str"/>
    </x:row>
    <x:row r="10">
      <x:c r="A10" s="23" t="str">
        <x:v>UAT-009</x:v>
      </x:c>
      <x:c r="B10" s="23" t="str">
        <x:v>后台操作</x:v>
      </x:c>
      <x:c r="C10" s="23" t="str">
        <x:v>下载中打开日志、帮助和详情</x:v>
      </x:c>
      <x:c r="D10" s="23" t="str">
        <x:v>界面不卡顿，任务持续</x:v>
      </x:c>
      <x:c r="E10" s="23" t="str">
        <x:v>P0</x:v>
      </x:c>
      <x:c r="F10" s="23" t="str">
        <x:v>未测试</x:v>
      </x:c>
      <x:c r="G10" s="23" t="str"/>
      <x:c r="H10" s="23" t="str"/>
      <x:c r="I10" s="23" t="str"/>
    </x:row>
    <x:row r="11">
      <x:c r="A11" s="23" t="str">
        <x:v>UAT-010</x:v>
      </x:c>
      <x:c r="B11" s="23" t="str">
        <x:v>安全取消</x:v>
      </x:c>
      <x:c r="C11" s="23" t="str">
        <x:v>下载中取消任务</x:v>
      </x:c>
      <x:c r="D11" s="23" t="str">
        <x:v>安全停止，重启后可恢复</x:v>
      </x:c>
      <x:c r="E11" s="23" t="str">
        <x:v>P0</x:v>
      </x:c>
      <x:c r="F11" s="23" t="str">
        <x:v>未测试</x:v>
      </x:c>
      <x:c r="G11" s="23" t="str"/>
      <x:c r="H11" s="23" t="str"/>
      <x:c r="I11" s="23" t="str"/>
    </x:row>
    <x:row r="12">
      <x:c r="A12" s="23" t="str">
        <x:v>UAT-011</x:v>
      </x:c>
      <x:c r="B12" s="23" t="str">
        <x:v>断网恢复</x:v>
      </x:c>
      <x:c r="C12" s="23" t="str">
        <x:v>下载中断网后恢复网络</x:v>
      </x:c>
      <x:c r="D12" s="23" t="str">
        <x:v>有限重试；旧文件不受损</x:v>
      </x:c>
      <x:c r="E12" s="23" t="str">
        <x:v>P0</x:v>
      </x:c>
      <x:c r="F12" s="23" t="str">
        <x:v>未测试</x:v>
      </x:c>
      <x:c r="G12" s="23" t="str"/>
      <x:c r="H12" s="23" t="str"/>
      <x:c r="I12" s="23" t="str"/>
    </x:row>
    <x:row r="13">
      <x:c r="A13" s="23" t="str">
        <x:v>UAT-012</x:v>
      </x:c>
      <x:c r="B13" s="23" t="str">
        <x:v>磁盘不足</x:v>
      </x:c>
      <x:c r="C13" s="23" t="str">
        <x:v>构造磁盘空间不足</x:v>
      </x:c>
      <x:c r="D13" s="23" t="str">
        <x:v>下载前或写入时安全失败</x:v>
      </x:c>
      <x:c r="E13" s="23" t="str">
        <x:v>P0</x:v>
      </x:c>
      <x:c r="F13" s="23" t="str">
        <x:v>未测试</x:v>
      </x:c>
      <x:c r="G13" s="23" t="str"/>
      <x:c r="H13" s="23" t="str"/>
      <x:c r="I13" s="23" t="str"/>
    </x:row>
    <x:row r="14">
      <x:c r="A14" s="23" t="str">
        <x:v>UAT-013</x:v>
      </x:c>
      <x:c r="B14" s="23" t="str">
        <x:v>状态损坏恢复</x:v>
      </x:c>
      <x:c r="C14" s="23" t="str">
        <x:v>损坏主状态文件并重启</x:v>
      </x:c>
      <x:c r="D14" s="23" t="str">
        <x:v>恢复备份或进入安全模式</x:v>
      </x:c>
      <x:c r="E14" s="23" t="str">
        <x:v>P0</x:v>
      </x:c>
      <x:c r="F14" s="23" t="str">
        <x:v>未测试</x:v>
      </x:c>
      <x:c r="G14" s="23" t="str"/>
      <x:c r="H14" s="23" t="str"/>
      <x:c r="I14" s="23" t="str"/>
    </x:row>
    <x:row r="15">
      <x:c r="A15" s="23" t="str">
        <x:v>UAT-014</x:v>
      </x:c>
      <x:c r="B15" s="23" t="str">
        <x:v>教材更新检查</x:v>
      </x:c>
      <x:c r="C15" s="23" t="str">
        <x:v>F9 检查仓库变化</x:v>
      </x:c>
      <x:c r="D15" s="23" t="str">
        <x:v>新增/修改/删除摘要正确</x:v>
      </x:c>
      <x:c r="E15" s="23" t="str">
        <x:v>P1</x:v>
      </x:c>
      <x:c r="F15" s="23" t="str">
        <x:v>未测试</x:v>
      </x:c>
      <x:c r="G15" s="23" t="str"/>
      <x:c r="H15" s="23" t="str"/>
      <x:c r="I15" s="23" t="str"/>
    </x:row>
    <x:row r="16">
      <x:c r="A16" s="23" t="str">
        <x:v>UAT-015</x:v>
      </x:c>
      <x:c r="B16" s="23" t="str">
        <x:v>软件更新提示</x:v>
      </x:c>
      <x:c r="C16" s="23" t="str">
        <x:v>模拟新 Release</x:v>
      </x:c>
      <x:c r="D16" s="23" t="str">
        <x:v>提示更新但不自动覆盖</x:v>
      </x:c>
      <x:c r="E16" s="23" t="str">
        <x:v>P2</x:v>
      </x:c>
      <x:c r="F16" s="23" t="str">
        <x:v>未测试</x:v>
      </x:c>
      <x:c r="G16" s="23" t="str"/>
      <x:c r="H16" s="23" t="str"/>
      <x:c r="I16" s="23" t="str"/>
    </x:row>
    <x:row r="17">
      <x:c r="A17" s="23" t="str">
        <x:v>UAT-016</x:v>
      </x:c>
      <x:c r="B17" s="23" t="str">
        <x:v>日志脱敏</x:v>
      </x:c>
      <x:c r="C17" s="23" t="str">
        <x:v>使用含 token 的测试 URL</x:v>
      </x:c>
      <x:c r="D17" s="23" t="str">
        <x:v>日志与诊断中 token 不可见</x:v>
      </x:c>
      <x:c r="E17" s="23" t="str">
        <x:v>P0</x:v>
      </x:c>
      <x:c r="F17" s="23" t="str">
        <x:v>未测试</x:v>
      </x:c>
      <x:c r="G17" s="23" t="str"/>
      <x:c r="H17" s="23" t="str"/>
      <x:c r="I17" s="23" t="str"/>
    </x:row>
    <x:row r="18">
      <x:c r="A18" s="23" t="str">
        <x:v>UAT-017</x:v>
      </x:c>
      <x:c r="B18" s="23" t="str">
        <x:v>打开文件和目录</x:v>
      </x:c>
      <x:c r="C18" s="23" t="str">
        <x:v>按 O 和 L</x:v>
      </x:c>
      <x:c r="D18" s="23" t="str">
        <x:v>平台默认程序正常打开</x:v>
      </x:c>
      <x:c r="E18" s="23" t="str">
        <x:v>P1</x:v>
      </x:c>
      <x:c r="F18" s="23" t="str">
        <x:v>未测试</x:v>
      </x:c>
      <x:c r="G18" s="23" t="str"/>
      <x:c r="H18" s="23" t="str"/>
      <x:c r="I18" s="23" t="str"/>
    </x:row>
    <x:row r="19">
      <x:c r="A19" s="23" t="str">
        <x:v>UAT-018</x:v>
      </x:c>
      <x:c r="B19" s="23" t="str">
        <x:v>窄终端体验</x:v>
      </x:c>
      <x:c r="C19" s="23" t="str">
        <x:v>调整到约 85 列</x:v>
      </x:c>
      <x:c r="D19" s="23" t="str">
        <x:v>布局不重叠，关键功能可用</x:v>
      </x:c>
      <x:c r="E19" s="23" t="str">
        <x:v>P1</x:v>
      </x:c>
      <x:c r="F19" s="23" t="str">
        <x:v>未测试</x:v>
      </x:c>
      <x:c r="G19" s="23" t="str"/>
      <x:c r="H19" s="23" t="str"/>
      <x:c r="I19" s="23" t="str"/>
    </x:row>
    <x:row r="20">
      <x:c r="A20" s="23" t="str">
        <x:v>UAT-019</x:v>
      </x:c>
      <x:c r="B20" s="23" t="str">
        <x:v>异常崩溃恢复</x:v>
      </x:c>
      <x:c r="C20" s="23" t="str">
        <x:v>任务中强制结束进程并重启</x:v>
      </x:c>
      <x:c r="D20" s="23" t="str">
        <x:v>旧任务显示 interrupted，可创建恢复任务</x:v>
      </x:c>
      <x:c r="E20" s="23" t="str">
        <x:v>P0</x:v>
      </x:c>
      <x:c r="F20" s="23" t="str">
        <x:v>未测试</x:v>
      </x:c>
      <x:c r="G20" s="23" t="str"/>
      <x:c r="H20" s="23" t="str"/>
      <x:c r="I20" s="23" t="str"/>
    </x:row>
    <x:row r="21">
      <x:c r="A21" s="23" t="str">
        <x:v>UAT-020</x:v>
      </x:c>
      <x:c r="B21" s="23" t="str">
        <x:v>退出安全性</x:v>
      </x:c>
      <x:c r="C21" s="23" t="str">
        <x:v>任务运行时按 Q</x:v>
      </x:c>
      <x:c r="D21" s="23" t="str">
        <x:v>必须确认并安全退出</x:v>
      </x:c>
      <x:c r="E21" s="23" t="str">
        <x:v>P0</x:v>
      </x:c>
      <x:c r="F21" s="23" t="str">
        <x:v>未测试</x:v>
      </x:c>
      <x:c r="G21" s="23" t="str"/>
      <x:c r="H21" s="23" t="str"/>
      <x:c r="I21" s="23" t="str"/>
    </x:row>
  </x:sheetData>
  <x:conditionalFormatting sqref="F2:F21">
    <x:cfRule type="expression" dxfId="3" priority="1">
      <x:formula>INDIRECT("RC",FALSE)="通过"</x:formula>
    </x:cfRule>
    <x:cfRule type="expression" dxfId="4" priority="2">
      <x:formula>INDIRECT("RC",FALSE)="失败"</x:formula>
    </x:cfRule>
    <x:cfRule type="expression" dxfId="5" priority="3">
      <x:formula>INDIRECT("RC",FALSE)="阻塞"</x:formula>
    </x:cfRule>
  </x:conditionalFormatting>
  <x:dataValidations count="1">
    <x:dataValidation type="list" sqref="F2:F21">
      <x:formula1>"未测试,通过,失败,阻塞,不适用"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2c37b243ed41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16" hidden="0" customWidth="1"/>
    <x:col min="5" max="5" width="12" hidden="0" customWidth="1"/>
    <x:col min="6" max="6" width="22" hidden="0" customWidth="1"/>
    <x:col min="7" max="7" width="16" hidden="0" customWidth="1"/>
    <x:col min="8" max="8" width="12" hidden="0" customWidth="1"/>
    <x:col min="9" max="9" width="10" hidden="0" customWidth="1"/>
    <x:col min="10" max="10" width="12" hidden="0" customWidth="1"/>
    <x:col min="11" max="11" width="24" hidden="0" customWidth="1"/>
  </x:cols>
  <x:sheetData>
    <x:row r="1">
      <x:c r="A1" s="28" t="str">
        <x:v>环境ID</x:v>
      </x:c>
      <x:c r="B1" s="28" t="str">
        <x:v>操作系统</x:v>
      </x:c>
      <x:c r="C1" s="28" t="str">
        <x:v>架构</x:v>
      </x:c>
      <x:c r="D1" s="28" t="str">
        <x:v>Python</x:v>
      </x:c>
      <x:c r="E1" s="28" t="str">
        <x:v>Git</x:v>
      </x:c>
      <x:c r="F1" s="28" t="str">
        <x:v>终端</x:v>
      </x:c>
      <x:c r="G1" s="28" t="str">
        <x:v>安装形式</x:v>
      </x:c>
      <x:c r="H1" s="28" t="str">
        <x:v>网络</x:v>
      </x:c>
      <x:c r="I1" s="28" t="str">
        <x:v>优先级</x:v>
      </x:c>
      <x:c r="J1" s="28" t="str">
        <x:v>状态</x:v>
      </x:c>
      <x:c r="K1" s="28" t="str">
        <x:v>备注</x:v>
      </x:c>
    </x:row>
    <x:row r="2">
      <x:c r="A2" s="23" t="str">
        <x:v>ENV-001</x:v>
      </x:c>
      <x:c r="B2" s="23" t="str">
        <x:v>Windows 11 23H2/24H2</x:v>
      </x:c>
      <x:c r="C2" s="23" t="str">
        <x:v>x64</x:v>
      </x:c>
      <x:c r="D2" s="23" t="str">
        <x:v>内置/不要求</x:v>
      </x:c>
      <x:c r="E2" s="23" t="str">
        <x:v>2.43+</x:v>
      </x:c>
      <x:c r="F2" s="23" t="str">
        <x:v>Windows Terminal</x:v>
      </x:c>
      <x:c r="G2" s="23" t="str">
        <x:v>EXE</x:v>
      </x:c>
      <x:c r="H2" s="23" t="str">
        <x:v>正常</x:v>
      </x:c>
      <x:c r="I2" s="23" t="str">
        <x:v>必测</x:v>
      </x:c>
      <x:c r="J2" s="23" t="str">
        <x:v>未测试</x:v>
      </x:c>
      <x:c r="K2" s="23" t="str"/>
    </x:row>
    <x:row r="3">
      <x:c r="A3" s="23" t="str">
        <x:v>ENV-002</x:v>
      </x:c>
      <x:c r="B3" s="23" t="str">
        <x:v>Windows 10 22H2</x:v>
      </x:c>
      <x:c r="C3" s="23" t="str">
        <x:v>x64</x:v>
      </x:c>
      <x:c r="D3" s="23" t="str">
        <x:v>内置/不要求</x:v>
      </x:c>
      <x:c r="E3" s="23" t="str">
        <x:v>2.43+</x:v>
      </x:c>
      <x:c r="F3" s="23" t="str">
        <x:v>Windows Terminal</x:v>
      </x:c>
      <x:c r="G3" s="23" t="str">
        <x:v>EXE</x:v>
      </x:c>
      <x:c r="H3" s="23" t="str">
        <x:v>正常</x:v>
      </x:c>
      <x:c r="I3" s="23" t="str">
        <x:v>必测</x:v>
      </x:c>
      <x:c r="J3" s="23" t="str">
        <x:v>未测试</x:v>
      </x:c>
      <x:c r="K3" s="23" t="str"/>
    </x:row>
    <x:row r="4">
      <x:c r="A4" s="23" t="str">
        <x:v>ENV-003</x:v>
      </x:c>
      <x:c r="B4" s="23" t="str">
        <x:v>Ubuntu 22.04 LTS</x:v>
      </x:c>
      <x:c r="C4" s="23" t="str">
        <x:v>x64</x:v>
      </x:c>
      <x:c r="D4" s="23" t="str">
        <x:v>3.10/3.11</x:v>
      </x:c>
      <x:c r="E4" s="23" t="str">
        <x:v>2.34+</x:v>
      </x:c>
      <x:c r="F4" s="23" t="str">
        <x:v>GNOME Terminal</x:v>
      </x:c>
      <x:c r="G4" s="23" t="str">
        <x:v>wheel/pipx</x:v>
      </x:c>
      <x:c r="H4" s="23" t="str">
        <x:v>正常</x:v>
      </x:c>
      <x:c r="I4" s="23" t="str">
        <x:v>必测</x:v>
      </x:c>
      <x:c r="J4" s="23" t="str">
        <x:v>未测试</x:v>
      </x:c>
      <x:c r="K4" s="23" t="str"/>
    </x:row>
    <x:row r="5">
      <x:c r="A5" s="23" t="str">
        <x:v>ENV-004</x:v>
      </x:c>
      <x:c r="B5" s="23" t="str">
        <x:v>Ubuntu 24.04 LTS</x:v>
      </x:c>
      <x:c r="C5" s="23" t="str">
        <x:v>x64</x:v>
      </x:c>
      <x:c r="D5" s="23" t="str">
        <x:v>3.12</x:v>
      </x:c>
      <x:c r="E5" s="23" t="str">
        <x:v>2.43+</x:v>
      </x:c>
      <x:c r="F5" s="23" t="str">
        <x:v>GNOME Terminal</x:v>
      </x:c>
      <x:c r="G5" s="23" t="str">
        <x:v>wheel/pipx</x:v>
      </x:c>
      <x:c r="H5" s="23" t="str">
        <x:v>正常</x:v>
      </x:c>
      <x:c r="I5" s="23" t="str">
        <x:v>必测</x:v>
      </x:c>
      <x:c r="J5" s="23" t="str">
        <x:v>未测试</x:v>
      </x:c>
      <x:c r="K5" s="23" t="str"/>
    </x:row>
    <x:row r="6">
      <x:c r="A6" s="23" t="str">
        <x:v>ENV-005</x:v>
      </x:c>
      <x:c r="B6" s="23" t="str">
        <x:v>Windows 11</x:v>
      </x:c>
      <x:c r="C6" s="23" t="str">
        <x:v>x64</x:v>
      </x:c>
      <x:c r="D6" s="23" t="str">
        <x:v>内置/不要求</x:v>
      </x:c>
      <x:c r="E6" s="23" t="str">
        <x:v>2.43+</x:v>
      </x:c>
      <x:c r="F6" s="23" t="str">
        <x:v>PowerShell 终端</x:v>
      </x:c>
      <x:c r="G6" s="23" t="str">
        <x:v>EXE</x:v>
      </x:c>
      <x:c r="H6" s="23" t="str">
        <x:v>慢速</x:v>
      </x:c>
      <x:c r="I6" s="23" t="str">
        <x:v>扩展</x:v>
      </x:c>
      <x:c r="J6" s="23" t="str">
        <x:v>未测试</x:v>
      </x:c>
      <x:c r="K6" s="23" t="str">
        <x:v>100KB/s</x:v>
      </x:c>
    </x:row>
    <x:row r="7">
      <x:c r="A7" s="23" t="str">
        <x:v>ENV-006</x:v>
      </x:c>
      <x:c r="B7" s="23" t="str">
        <x:v>Ubuntu 24.04</x:v>
      </x:c>
      <x:c r="C7" s="23" t="str">
        <x:v>x64</x:v>
      </x:c>
      <x:c r="D7" s="23" t="str">
        <x:v>3.12</x:v>
      </x:c>
      <x:c r="E7" s="23" t="str">
        <x:v>2.43+</x:v>
      </x:c>
      <x:c r="F7" s="23" t="str">
        <x:v>SSH/80列</x:v>
      </x:c>
      <x:c r="G7" s="23" t="str">
        <x:v>wheel</x:v>
      </x:c>
      <x:c r="H7" s="23" t="str">
        <x:v>正常</x:v>
      </x:c>
      <x:c r="I7" s="23" t="str">
        <x:v>扩展</x:v>
      </x:c>
      <x:c r="J7" s="23" t="str">
        <x:v>未测试</x:v>
      </x:c>
      <x:c r="K7" s="23" t="str">
        <x:v>窄终端</x:v>
      </x:c>
    </x:row>
    <x:row r="8">
      <x:c r="A8" s="23" t="str">
        <x:v>ENV-007</x:v>
      </x:c>
      <x:c r="B8" s="23" t="str">
        <x:v>Windows 11</x:v>
      </x:c>
      <x:c r="C8" s="23" t="str">
        <x:v>x64</x:v>
      </x:c>
      <x:c r="D8" s="23" t="str">
        <x:v>内置/不要求</x:v>
      </x:c>
      <x:c r="E8" s="23" t="str">
        <x:v>未安装</x:v>
      </x:c>
      <x:c r="F8" s="23" t="str">
        <x:v>Windows Terminal</x:v>
      </x:c>
      <x:c r="G8" s="23" t="str">
        <x:v>EXE</x:v>
      </x:c>
      <x:c r="H8" s="23" t="str">
        <x:v>正常</x:v>
      </x:c>
      <x:c r="I8" s="23" t="str">
        <x:v>负向</x:v>
      </x:c>
      <x:c r="J8" s="23" t="str">
        <x:v>未测试</x:v>
      </x:c>
      <x:c r="K8" s="23" t="str"/>
    </x:row>
    <x:row r="9">
      <x:c r="A9" s="23" t="str">
        <x:v>ENV-008</x:v>
      </x:c>
      <x:c r="B9" s="23" t="str">
        <x:v>Ubuntu 22.04</x:v>
      </x:c>
      <x:c r="C9" s="23" t="str">
        <x:v>x64</x:v>
      </x:c>
      <x:c r="D9" s="23" t="str">
        <x:v>3.9</x:v>
      </x:c>
      <x:c r="E9" s="23" t="str">
        <x:v>2.34+</x:v>
      </x:c>
      <x:c r="F9" s="23" t="str">
        <x:v>GNOME Terminal</x:v>
      </x:c>
      <x:c r="G9" s="23" t="str">
        <x:v>源码</x:v>
      </x:c>
      <x:c r="H9" s="23" t="str">
        <x:v>正常</x:v>
      </x:c>
      <x:c r="I9" s="23" t="str">
        <x:v>负向</x:v>
      </x:c>
      <x:c r="J9" s="23" t="str">
        <x:v>未测试</x:v>
      </x:c>
      <x:c r="K9" s="23" t="str"/>
    </x:row>
  </x:sheetData>
  <x:conditionalFormatting sqref="J2:J9">
    <x:cfRule type="expression" dxfId="6" priority="1">
      <x:formula>INDIRECT("RC",FALSE)="通过"</x:formula>
    </x:cfRule>
    <x:cfRule type="expression" dxfId="7" priority="2">
      <x:formula>INDIRECT("RC",FALSE)="失败"</x:formula>
    </x:cfRule>
    <x:cfRule type="expression" dxfId="8" priority="3">
      <x:formula>INDIRECT("RC",FALSE)="阻塞"</x:formula>
    </x:cfRule>
  </x:conditionalFormatting>
  <x:dataValidations count="1">
    <x:dataValidation type="list" sqref="J2:J9">
      <x:formula1>"未测试,通过,失败,阻塞,不适用"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c2925a99a14d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8" hidden="0" customWidth="1"/>
    <x:col min="10" max="10" width="42" hidden="0" customWidth="1"/>
    <x:col min="11" max="11" width="38" hidden="0" customWidth="1"/>
    <x:col min="12" max="12" width="38" hidden="0" customWidth="1"/>
    <x:col min="13" max="13" width="14" hidden="0" customWidth="1"/>
    <x:col min="14" max="14" width="12" hidden="0" customWidth="1"/>
    <x:col min="15" max="15" width="12" hidden="0" customWidth="1"/>
    <x:col min="16" max="16" width="25" hidden="0" customWidth="1"/>
  </x:cols>
  <x:sheetData>
    <x:row r="1">
      <x:c r="A1" s="28" t="str">
        <x:v>缺陷ID</x:v>
      </x:c>
      <x:c r="B1" s="28" t="str">
        <x:v>标题</x:v>
      </x:c>
      <x:c r="C1" s="28" t="str">
        <x:v>关联用例</x:v>
      </x:c>
      <x:c r="D1" s="28" t="str">
        <x:v>模块</x:v>
      </x:c>
      <x:c r="E1" s="28" t="str">
        <x:v>严重度</x:v>
      </x:c>
      <x:c r="F1" s="28" t="str">
        <x:v>优先级</x:v>
      </x:c>
      <x:c r="G1" s="28" t="str">
        <x:v>状态</x:v>
      </x:c>
      <x:c r="H1" s="28" t="str">
        <x:v>发现版本</x:v>
      </x:c>
      <x:c r="I1" s="28" t="str">
        <x:v>发现环境</x:v>
      </x:c>
      <x:c r="J1" s="28" t="str">
        <x:v>复现步骤</x:v>
      </x:c>
      <x:c r="K1" s="28" t="str">
        <x:v>实际结果</x:v>
      </x:c>
      <x:c r="L1" s="28" t="str">
        <x:v>预期结果</x:v>
      </x:c>
      <x:c r="M1" s="28" t="str">
        <x:v>负责人</x:v>
      </x:c>
      <x:c r="N1" s="28" t="str">
        <x:v>修复版本</x:v>
      </x:c>
      <x:c r="O1" s="28" t="str">
        <x:v>回归状态</x:v>
      </x:c>
      <x:c r="P1" s="28" t="str">
        <x:v>备注</x:v>
      </x:c>
    </x:row>
    <x:row r="2">
      <x:c r="A2" s="23" t="str"/>
      <x:c r="B2" s="23" t="str"/>
      <x:c r="C2" s="23" t="str"/>
      <x:c r="D2" s="23" t="str"/>
      <x:c r="E2" s="23" t="str">
        <x:v>S3</x:v>
      </x:c>
      <x:c r="F2" s="23" t="str">
        <x:v>P1</x:v>
      </x:c>
      <x:c r="G2" s="23" t="str">
        <x:v>新建</x:v>
      </x:c>
      <x:c r="H2" s="23" t="str"/>
      <x:c r="I2" s="23" t="str"/>
      <x:c r="J2" s="23" t="str"/>
      <x:c r="K2" s="23" t="str"/>
      <x:c r="L2" s="23" t="str"/>
      <x:c r="M2" s="23" t="str"/>
      <x:c r="N2" s="23" t="str"/>
      <x:c r="O2" s="23" t="str">
        <x:v>未回归</x:v>
      </x:c>
      <x:c r="P2" s="23" t="str"/>
    </x:row>
  </x:sheetData>
  <x:dataValidations count="4">
    <x:dataValidation type="list" sqref="E2:E500">
      <x:formula1>"S1,S2,S3,S4"</x:formula1>
    </x:dataValidation>
    <x:dataValidation type="list" sqref="F2:F500">
      <x:formula1>"P0,P1,P2"</x:formula1>
    </x:dataValidation>
    <x:dataValidation type="list" sqref="G2:G500">
      <x:formula1>"新建,已确认,修复中,待回归,已关闭,延期"</x:formula1>
    </x:dataValidation>
    <x:dataValidation type="list" sqref="O2:O500">
      <x:formula1>"未回归,通过,失败,不适用"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2894cd9de44d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40" hidden="0" customWidth="1"/>
  </x:cols>
  <x:sheetData>
    <x:row r="1">
      <x:c r="A1" s="28" t="str">
        <x:v>字段</x:v>
      </x:c>
      <x:c r="B1" s="28" t="str">
        <x:v>允许值/格式</x:v>
      </x:c>
      <x:c r="C1" s="28" t="str">
        <x:v>说明</x:v>
      </x:c>
    </x:row>
    <x:row r="2">
      <x:c r="A2" s="23" t="str">
        <x:v>执行状态</x:v>
      </x:c>
      <x:c r="B2" s="23" t="str">
        <x:v>未测试 / 通过 / 失败 / 阻塞 / 不适用</x:v>
      </x:c>
      <x:c r="C2" s="23" t="str">
        <x:v>测试执行结果</x:v>
      </x:c>
    </x:row>
    <x:row r="3">
      <x:c r="A3" s="23" t="str">
        <x:v>优先级</x:v>
      </x:c>
      <x:c r="B3" s="23" t="str">
        <x:v>P0 / P1 / P2</x:v>
      </x:c>
      <x:c r="C3" s="23" t="str">
        <x:v>P0 为发布阻塞级</x:v>
      </x:c>
    </x:row>
    <x:row r="4">
      <x:c r="A4" s="23" t="str">
        <x:v>自动化建议</x:v>
      </x:c>
      <x:c r="B4" s="23" t="str">
        <x:v>适合自动化 / 部分自动化 / 手工</x:v>
      </x:c>
      <x:c r="C4" s="23" t="str">
        <x:v>自动化投入建议</x:v>
      </x:c>
    </x:row>
    <x:row r="5">
      <x:c r="A5" s="23" t="str">
        <x:v>严重度</x:v>
      </x:c>
      <x:c r="B5" s="23" t="str">
        <x:v>S1 / S2 / S3 / S4</x:v>
      </x:c>
      <x:c r="C5" s="23" t="str">
        <x:v>S1 致命，S4 轻微</x:v>
      </x:c>
    </x:row>
    <x:row r="6">
      <x:c r="A6" s="23" t="str">
        <x:v>缺陷状态</x:v>
      </x:c>
      <x:c r="B6" s="23" t="str">
        <x:v>新建 / 已确认 / 修复中 / 待回归 / 已关闭 / 延期</x:v>
      </x:c>
      <x:c r="C6" s="23" t="str">
        <x:v>缺陷生命周期</x:v>
      </x:c>
    </x:row>
    <x:row r="7">
      <x:c r="A7" s="23" t="str">
        <x:v>回归状态</x:v>
      </x:c>
      <x:c r="B7" s="23" t="str">
        <x:v>未回归 / 通过 / 失败 / 不适用</x:v>
      </x:c>
      <x:c r="C7" s="23" t="str">
        <x:v>修复后的验证结果</x:v>
      </x:c>
    </x:row>
    <x:row r="8">
      <x:c r="A8" s="23" t="str">
        <x:v>日期</x:v>
      </x:c>
      <x:c r="B8" s="23" t="str">
        <x:v>yyyy-mm-dd</x:v>
      </x:c>
      <x:c r="C8" s="23" t="str">
        <x:v>执行或验收日期</x:v>
      </x:c>
    </x:row>
  </x:sheetData>
  <x:pageMargins left="0.7" right="0.7" top="0.75" bottom="0.75" header="0.3" footer="0.3"/>
</x:worksheet>
</file>