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3318f4e1e4c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看板" sheetId="1" r:id="Rfad5a84c35714007"/>
    <x:sheet xmlns:r="http://schemas.openxmlformats.org/officeDocument/2006/relationships" name="WBS任务" sheetId="2" r:id="R3410a172c7364a00"/>
    <x:sheet xmlns:r="http://schemas.openxmlformats.org/officeDocument/2006/relationships" name="里程碑" sheetId="3" r:id="Rb2eb15d7ff744354"/>
    <x:sheet xmlns:r="http://schemas.openxmlformats.org/officeDocument/2006/relationships" name="资源计划" sheetId="4" r:id="R8910625883dd4d18"/>
    <x:sheet xmlns:r="http://schemas.openxmlformats.org/officeDocument/2006/relationships" name="风险登记" sheetId="5" r:id="Red1770bb6c0c44e4"/>
    <x:sheet xmlns:r="http://schemas.openxmlformats.org/officeDocument/2006/relationships" name="数据字典" sheetId="6" r:id="R76fd2f47089d41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%"/>
    <x:numFmt numFmtId="202" formatCode="0%"/>
    <x:numFmt numFmtId="203" formatCode="0.0"/>
    <x:numFmt numFmtId="204" formatCode="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2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2" fillId="2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  <x:dxfs count="13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c8f9e9d0c941ef" /><Relationship Type="http://schemas.openxmlformats.org/officeDocument/2006/relationships/theme" Target="/xl/theme/theme1.xml" Id="R7909cff5a5c041fc" /><Relationship Type="http://schemas.openxmlformats.org/officeDocument/2006/relationships/sharedStrings" Target="/xl/sharedStrings.xml" Id="R07843d81641c4d35" /><Relationship Type="http://schemas.openxmlformats.org/officeDocument/2006/relationships/worksheet" Target="/xl/worksheets/sheet1.xml" Id="Rfad5a84c35714007" /><Relationship Type="http://schemas.openxmlformats.org/officeDocument/2006/relationships/worksheet" Target="/xl/worksheets/sheet2.xml" Id="R3410a172c7364a00" /><Relationship Type="http://schemas.openxmlformats.org/officeDocument/2006/relationships/worksheet" Target="/xl/worksheets/sheet3.xml" Id="Rb2eb15d7ff744354" /><Relationship Type="http://schemas.openxmlformats.org/officeDocument/2006/relationships/worksheet" Target="/xl/worksheets/sheet4.xml" Id="R8910625883dd4d18" /><Relationship Type="http://schemas.openxmlformats.org/officeDocument/2006/relationships/worksheet" Target="/xl/worksheets/sheet5.xml" Id="Red1770bb6c0c44e4" /><Relationship Type="http://schemas.openxmlformats.org/officeDocument/2006/relationships/worksheet" Target="/xl/worksheets/sheet6.xml" Id="R76fd2f47089d41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4bbfa33c2a491e" /><Relationship Type="http://schemas.openxmlformats.org/officeDocument/2006/relationships/chart" Target="/xl/drawings/charts/chart2.xml" Id="Rf72506651a7748f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计划人日</c:v>
          </c:tx>
          <c:cat>
            <c:strRef>
              <c:f>'里程碑'!$A$2:$A$8</c:f>
              <c:strCache>
                <c:ptCount val="0"/>
              </c:strCache>
            </c:strRef>
          </c:cat>
          <c:val>
            <c:numRef>
              <c:f>'里程碑'!$F$2:$F$8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计划人日</c:v>
          </c:tx>
          <c:cat>
            <c:strRef>
              <c:f>'资源计划'!$A$2:$A$8</c:f>
              <c:strCache>
                <c:ptCount val="0"/>
              </c:strCache>
            </c:strRef>
          </c:cat>
          <c:val>
            <c:numRef>
              <c:f>'资源计划'!$C$2:$C$8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4bbfa33c2a491e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2506651a7748f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BSTasks" displayName="WBSTasks" ref="A1:T83" headerRowCount="1">
  <x:tableColumns count="20">
    <x:tableColumn id="1" name="WBS ID"/>
    <x:tableColumn id="2" name="里程碑"/>
    <x:tableColumn id="3" name="工作流"/>
    <x:tableColumn id="4" name="任务名称"/>
    <x:tableColumn id="5" name="交付物"/>
    <x:tableColumn id="6" name="主责角色"/>
    <x:tableColumn id="7" name="支持角色"/>
    <x:tableColumn id="8" name="优先级"/>
    <x:tableColumn id="9" name="依赖任务"/>
    <x:tableColumn id="10" name="开始偏移(工作日)"/>
    <x:tableColumn id="11" name="工期(工作日)"/>
    <x:tableColumn id="12" name="投入FTE"/>
    <x:tableColumn id="13" name="计划开始"/>
    <x:tableColumn id="14" name="计划完成"/>
    <x:tableColumn id="15" name="计划人日"/>
    <x:tableColumn id="16" name="健康度"/>
    <x:tableColumn id="17" name="状态"/>
    <x:tableColumn id="18" name="完成度"/>
    <x:tableColumn id="19" name="验收标准"/>
    <x:tableColumn id="20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MilestonePlan" displayName="MilestonePlan" ref="A1:K8" headerRowCount="1">
  <x:tableColumns count="11">
    <x:tableColumn id="1" name="里程碑"/>
    <x:tableColumn id="2" name="阶段名称"/>
    <x:tableColumn id="3" name="计划开始"/>
    <x:tableColumn id="4" name="计划完成"/>
    <x:tableColumn id="5" name="阶段工期"/>
    <x:tableColumn id="6" name="计划人日"/>
    <x:tableColumn id="7" name="任务数"/>
    <x:tableColumn id="8" name="已完成"/>
    <x:tableColumn id="9" name="完成度"/>
    <x:tableColumn id="10" name="退出条件"/>
    <x:tableColumn id="11" name="状态"/>
  </x:tableColumns>
  <x:tableStyleInfo name="TableStyleMedium2" showRowStripes="1"/>
</x:table>
</file>

<file path=xl/tables/table3.xml><?xml version="1.0" encoding="utf-8"?>
<x:table xmlns:x="http://schemas.openxmlformats.org/spreadsheetml/2006/main" id="3" name="ResourcePlan" displayName="ResourcePlan" ref="A1:G8" headerRowCount="1">
  <x:tableColumns count="7">
    <x:tableColumn id="1" name="角色"/>
    <x:tableColumn id="2" name="建议人数"/>
    <x:tableColumn id="3" name="计划人日"/>
    <x:tableColumn id="4" name="平均负载率"/>
    <x:tableColumn id="5" name="主要职责"/>
    <x:tableColumn id="6" name="高峰阶段"/>
    <x:tableColumn id="7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RiskRegister" displayName="RiskRegister" ref="A1:M11" headerRowCount="1">
  <x:tableColumns count="13">
    <x:tableColumn id="1" name="风险ID"/>
    <x:tableColumn id="2" name="类别"/>
    <x:tableColumn id="3" name="风险描述"/>
    <x:tableColumn id="4" name="概率"/>
    <x:tableColumn id="5" name="影响"/>
    <x:tableColumn id="6" name="风险分值"/>
    <x:tableColumn id="7" name="等级"/>
    <x:tableColumn id="8" name="缓解措施"/>
    <x:tableColumn id="9" name="触发条件"/>
    <x:tableColumn id="10" name="责任角色"/>
    <x:tableColumn id="11" name="状态"/>
    <x:tableColumn id="12" name="复审日期"/>
    <x:tableColumn id="13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c23e2e7e61344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e80eaf448a4f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aa174259fb4b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525d5d430942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8cdfa9fe254b21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42" hidden="0" customWidth="1"/>
  </x:cols>
  <x:sheetData>
    <x:row r="1">
      <x:c r="A1" s="5" t="str">
        <x:v>ChinaTextbook v1.1 — 开发 WBS 与里程碑执行看板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项目参数</x:v>
      </x:c>
      <x:c r="B3" s="21" t="str">
        <x:v>值</x:v>
      </x:c>
      <x:c r="D3" s="12" t="str">
        <x:v>执行指标</x:v>
      </x:c>
      <x:c r="E3" s="12" t="str">
        <x:v>值</x:v>
      </x:c>
    </x:row>
    <x:row r="4">
      <x:c r="A4" s="20" t="str">
        <x:v>计划开始日期</x:v>
      </x:c>
      <x:c r="B4" s="22" t="n">
        <x:v>46223</x:v>
      </x:c>
      <x:c r="D4" s="20" t="str">
        <x:v>已完成任务</x:v>
      </x:c>
      <x:c r="E4" s="20" t="n">
        <x:f>COUNTIF('WBS任务'!Q2:Q83,"已完成")</x:f>
        <x:v>0</x:v>
      </x:c>
    </x:row>
    <x:row r="5">
      <x:c r="A5" s="20" t="str">
        <x:v>计划完成日期</x:v>
      </x:c>
      <x:c r="B5" s="22" t="n">
        <x:f>MAX('WBS任务'!N2:N83)</x:f>
        <x:v>46372</x:v>
      </x:c>
      <x:c r="D5" s="20" t="str">
        <x:v>进行中任务</x:v>
      </x:c>
      <x:c r="E5" s="20" t="n">
        <x:f>COUNTIF('WBS任务'!Q2:Q83,"进行中")</x:f>
        <x:v>0</x:v>
      </x:c>
    </x:row>
    <x:row r="6">
      <x:c r="A6" s="20" t="str">
        <x:v>项目可用工作日</x:v>
      </x:c>
      <x:c r="B6" s="45" t="n">
        <x:f>NETWORKDAYS(B4,B5)</x:f>
        <x:v>108</x:v>
      </x:c>
      <x:c r="D6" s="20" t="str">
        <x:v>阻塞任务</x:v>
      </x:c>
      <x:c r="E6" s="20" t="n">
        <x:f>COUNTIF('WBS任务'!Q2:Q83,"阻塞")</x:f>
        <x:v>0</x:v>
      </x:c>
    </x:row>
    <x:row r="7">
      <x:c r="A7" s="20" t="str">
        <x:v>总计划人日</x:v>
      </x:c>
      <x:c r="B7" s="45" t="n">
        <x:f>SUM('WBS任务'!O2:O83)</x:f>
        <x:v>227.2</x:v>
      </x:c>
      <x:c r="D7" s="20" t="str">
        <x:v>延期任务</x:v>
      </x:c>
      <x:c r="E7" s="20" t="n">
        <x:f>COUNTIF('WBS任务'!Q2:Q83,"延期")</x:f>
        <x:v>0</x:v>
      </x:c>
    </x:row>
    <x:row r="8">
      <x:c r="A8" s="20" t="str">
        <x:v>任务总数</x:v>
      </x:c>
      <x:c r="B8" s="47" t="n">
        <x:f>COUNTA('WBS任务'!A2:A83)</x:f>
        <x:v>82</x:v>
      </x:c>
      <x:c r="D8" s="20" t="str">
        <x:v>总体完成度</x:v>
      </x:c>
      <x:c r="E8" s="25" t="n">
        <x:f>IFERROR(SUM('WBS任务'!R2:R83)/COUNTA('WBS任务'!A2:A83),0)</x:f>
        <x:v>0</x:v>
      </x:c>
    </x:row>
    <x:row r="9">
      <x:c r="D9" s="20" t="str">
        <x:v>P0 未完成</x:v>
      </x:c>
      <x:c r="E9" s="20" t="n">
        <x:f>COUNTIFS('WBS任务'!H2:H83,"P0",'WBS任务'!Q2:Q83,"&lt;&gt;已完成",'WBS任务'!Q2:Q83,"&lt;&gt;取消")</x:f>
        <x:v>64</x:v>
      </x:c>
    </x:row>
    <x:row r="10">
      <x:c r="D10" s="20" t="str">
        <x:v>当前里程碑</x:v>
      </x:c>
      <x:c r="E10" s="20" t="str">
        <x:f>IFERROR(INDEX('里程碑'!A2:A8,MATCH("进行中",'里程碑'!K2:K8,0)),IF(COUNTIF('里程碑'!K2:K8,"未开始")&gt;0,INDEX('里程碑'!A2:A8,MATCH("未开始",'里程碑'!K2:K8,0)),"已完成"))</x:f>
        <x:v>M0</x:v>
      </x:c>
    </x:row>
    <x:row r="11">
      <x:c r="A11" s="12" t="str">
        <x:v>里程碑</x:v>
      </x:c>
      <x:c r="B11" s="12" t="str">
        <x:v>阶段名称</x:v>
      </x:c>
      <x:c r="C11" s="12" t="str">
        <x:v>计划开始</x:v>
      </x:c>
      <x:c r="D11" s="12" t="str">
        <x:v>计划完成</x:v>
      </x:c>
      <x:c r="E11" s="12" t="str">
        <x:v>计划人日</x:v>
      </x:c>
      <x:c r="F11" s="12" t="str">
        <x:v>完成度</x:v>
      </x:c>
      <x:c r="G11" s="12" t="str">
        <x:v>状态</x:v>
      </x:c>
      <x:c r="H11" s="12" t="str">
        <x:v>退出条件</x:v>
      </x:c>
    </x:row>
    <x:row r="12">
      <x:c r="A12" s="20" t="str">
        <x:f>'里程碑'!A2</x:f>
        <x:v>M0</x:v>
      </x:c>
      <x:c r="B12" s="20" t="str">
        <x:f>'里程碑'!B2</x:f>
        <x:v>项目基线与工程启动</x:v>
      </x:c>
      <x:c r="C12" s="22" t="n">
        <x:f>'里程碑'!C2</x:f>
        <x:v>46223</x:v>
      </x:c>
      <x:c r="D12" s="22" t="n">
        <x:f>'里程碑'!D2</x:f>
        <x:v>46226</x:v>
      </x:c>
      <x:c r="E12" s="20" t="n">
        <x:f>'里程碑'!F2</x:f>
        <x:v>9.2</x:v>
      </x:c>
      <x:c r="F12" s="25" t="n">
        <x:f>'里程碑'!I2</x:f>
        <x:v>0</x:v>
      </x:c>
      <x:c r="G12" s="20" t="str">
        <x:f>'里程碑'!K2</x:f>
        <x:v>未开始</x:v>
      </x:c>
      <x:c r="H12" s="20" t="str">
        <x:f>'里程碑'!J2</x:f>
        <x:v>仓库、包骨架、CI、fixture 和评审完成</x:v>
      </x:c>
    </x:row>
    <x:row r="13">
      <x:c r="A13" s="20" t="str">
        <x:f>'里程碑'!A3</x:f>
        <x:v>M1</x:v>
      </x:c>
      <x:c r="B13" s="20" t="str">
        <x:f>'里程碑'!B3</x:f>
        <x:v>架构与基础设施</x:v>
      </x:c>
      <x:c r="C13" s="22" t="n">
        <x:f>'里程碑'!C3</x:f>
        <x:v>46227</x:v>
      </x:c>
      <x:c r="D13" s="22" t="n">
        <x:f>'里程碑'!D3</x:f>
        <x:v>46240</x:v>
      </x:c>
      <x:c r="E13" s="20" t="n">
        <x:f>'里程碑'!F3</x:f>
        <x:v>26.299999999999997</x:v>
      </x:c>
      <x:c r="F13" s="25" t="n">
        <x:f>'里程碑'!I3</x:f>
        <x:v>0</x:v>
      </x:c>
      <x:c r="G13" s="20" t="str">
        <x:f>'里程碑'!K3</x:f>
        <x:v>未开始</x:v>
      </x:c>
      <x:c r="H13" s="20" t="str">
        <x:f>'里程碑'!J3</x:f>
        <x:v>状态、日志、任务、配置和领域模型稳定</x:v>
      </x:c>
    </x:row>
    <x:row r="14">
      <x:c r="A14" s="20" t="str">
        <x:f>'里程碑'!A4</x:f>
        <x:v>M2</x:v>
      </x:c>
      <x:c r="B14" s="20" t="str">
        <x:f>'里程碑'!B4</x:f>
        <x:v>目录、导航与选择</x:v>
      </x:c>
      <x:c r="C14" s="22" t="n">
        <x:f>'里程碑'!C4</x:f>
        <x:v>46241</x:v>
      </x:c>
      <x:c r="D14" s="22" t="n">
        <x:f>'里程碑'!D4</x:f>
        <x:v>46267</x:v>
      </x:c>
      <x:c r="E14" s="20" t="n">
        <x:f>'里程碑'!F4</x:f>
        <x:v>44.5</x:v>
      </x:c>
      <x:c r="F14" s="25" t="n">
        <x:f>'里程碑'!I4</x:f>
        <x:v>0</x:v>
      </x:c>
      <x:c r="G14" s="20" t="str">
        <x:f>'里程碑'!K4</x:f>
        <x:v>未开始</x:v>
      </x:c>
      <x:c r="H14" s="20" t="str">
        <x:f>'里程碑'!J4</x:f>
        <x:v>可浏览、搜索、选择并迁移旧状态</x:v>
      </x:c>
    </x:row>
    <x:row r="15">
      <x:c r="A15" s="20" t="str">
        <x:f>'里程碑'!A5</x:f>
        <x:v>M3</x:v>
      </x:c>
      <x:c r="B15" s="20" t="str">
        <x:f>'里程碑'!B5</x:f>
        <x:v>下载、合并与校验</x:v>
      </x:c>
      <x:c r="C15" s="22" t="n">
        <x:f>'里程碑'!C5</x:f>
        <x:v>46268</x:v>
      </x:c>
      <x:c r="D15" s="22" t="n">
        <x:f>'里程碑'!D5</x:f>
        <x:v>46304</x:v>
      </x:c>
      <x:c r="E15" s="20" t="n">
        <x:f>'里程碑'!F5</x:f>
        <x:v>52.9</x:v>
      </x:c>
      <x:c r="F15" s="25" t="n">
        <x:f>'里程碑'!I5</x:f>
        <x:v>0</x:v>
      </x:c>
      <x:c r="G15" s="20" t="str">
        <x:f>'里程碑'!K5</x:f>
        <x:v>未开始</x:v>
      </x:c>
      <x:c r="H15" s="20" t="str">
        <x:f>'里程碑'!J5</x:f>
        <x:v>普通/分卷教材安全下载与恢复</x:v>
      </x:c>
    </x:row>
    <x:row r="16">
      <x:c r="A16" s="20" t="str">
        <x:f>'里程碑'!A6</x:f>
        <x:v>M4</x:v>
      </x:c>
      <x:c r="B16" s="20" t="str">
        <x:f>'里程碑'!B6</x:f>
        <x:v>日志、更新、帮助与文件操作</x:v>
      </x:c>
      <x:c r="C16" s="22" t="n">
        <x:f>'里程碑'!C6</x:f>
        <x:v>46307</x:v>
      </x:c>
      <x:c r="D16" s="22" t="n">
        <x:f>'里程碑'!D6</x:f>
        <x:v>46325</x:v>
      </x:c>
      <x:c r="E16" s="20" t="n">
        <x:f>'里程碑'!F6</x:f>
        <x:v>32.300000000000004</x:v>
      </x:c>
      <x:c r="F16" s="25" t="n">
        <x:f>'里程碑'!I6</x:f>
        <x:v>0</x:v>
      </x:c>
      <x:c r="G16" s="20" t="str">
        <x:f>'里程碑'!K6</x:f>
        <x:v>未开始</x:v>
      </x:c>
      <x:c r="H16" s="20" t="str">
        <x:f>'里程碑'!J6</x:f>
        <x:v>完整用户功能可演示</x:v>
      </x:c>
    </x:row>
    <x:row r="17">
      <x:c r="A17" s="20" t="str">
        <x:f>'里程碑'!A7</x:f>
        <x:v>M5</x:v>
      </x:c>
      <x:c r="B17" s="20" t="str">
        <x:f>'里程碑'!B7</x:f>
        <x:v>质量加固与验收</x:v>
      </x:c>
      <x:c r="C17" s="22" t="n">
        <x:f>'里程碑'!C7</x:f>
        <x:v>46328</x:v>
      </x:c>
      <x:c r="D17" s="22" t="n">
        <x:f>'里程碑'!D7</x:f>
        <x:v>46359</x:v>
      </x:c>
      <x:c r="E17" s="20" t="n">
        <x:f>'里程碑'!F7</x:f>
        <x:v>50.4</x:v>
      </x:c>
      <x:c r="F17" s="25" t="n">
        <x:f>'里程碑'!I7</x:f>
        <x:v>0</x:v>
      </x:c>
      <x:c r="G17" s="20" t="str">
        <x:f>'里程碑'!K7</x:f>
        <x:v>未开始</x:v>
      </x:c>
      <x:c r="H17" s="20" t="str">
        <x:f>'里程碑'!J7</x:f>
        <x:v>P0 测试和 UAT 通过，RC 可发布</x:v>
      </x:c>
    </x:row>
    <x:row r="18">
      <x:c r="A18" s="20" t="str">
        <x:f>'里程碑'!A8</x:f>
        <x:v>M6</x:v>
      </x:c>
      <x:c r="B18" s="20" t="str">
        <x:f>'里程碑'!B8</x:f>
        <x:v>打包、发布与交付</x:v>
      </x:c>
      <x:c r="C18" s="22" t="n">
        <x:f>'里程碑'!C8</x:f>
        <x:v>46360</x:v>
      </x:c>
      <x:c r="D18" s="22" t="n">
        <x:f>'里程碑'!D8</x:f>
        <x:v>46372</x:v>
      </x:c>
      <x:c r="E18" s="20" t="n">
        <x:f>'里程碑'!F8</x:f>
        <x:v>11.6</x:v>
      </x:c>
      <x:c r="F18" s="25" t="n">
        <x:f>'里程碑'!I8</x:f>
        <x:v>0</x:v>
      </x:c>
      <x:c r="G18" s="20" t="str">
        <x:f>'里程碑'!K8</x:f>
        <x:v>未开始</x:v>
      </x:c>
      <x:c r="H18" s="20" t="str">
        <x:f>'里程碑'!J8</x:f>
        <x:v>正式 Release、回滚验证和项目签字</x:v>
      </x:c>
    </x:row>
    <x:row r="21">
      <x:c r="A21" s="18" t="str">
        <x:v>使用说明：修改 B4 项目开始日期即可整体移动计划；执行过程中只需更新 WBS任务 的状态、完成度、实际信息和备注。</x:v>
      </x:c>
      <x:c r="B21" s="18"/>
      <x:c r="C21" s="18"/>
      <x:c r="D21" s="18"/>
      <x:c r="E21" s="18"/>
      <x:c r="F21" s="18"/>
      <x:c r="G21" s="18"/>
      <x:c r="H21" s="18"/>
    </x:row>
  </x:sheetData>
  <x:mergeCells>
    <x:mergeCell ref="A1:H1"/>
    <x:mergeCell ref="A21:H21"/>
  </x:mergeCells>
  <x:pageMargins left="0.7" right="0.7" top="0.75" bottom="0.75" header="0.3" footer="0.3"/>
  <x:drawing xmlns:r="http://schemas.openxmlformats.org/officeDocument/2006/relationships" r:id="Rac23e2e7e61344ab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34" hidden="0" customWidth="1"/>
    <x:col min="5" max="5" width="28" hidden="0" customWidth="1"/>
    <x:col min="6" max="6" width="14" hidden="0" customWidth="1"/>
    <x:col min="7" max="7" width="22" hidden="0" customWidth="1"/>
    <x:col min="8" max="8" width="10" hidden="0" customWidth="1"/>
    <x:col min="9" max="9" width="22" hidden="0" customWidth="1"/>
    <x:col min="10" max="10" width="14" hidden="0" customWidth="1"/>
    <x:col min="11" max="11" width="13" hidden="0" customWidth="1"/>
    <x:col min="12" max="12" width="11" hidden="0" customWidth="1"/>
    <x:col min="13" max="13" width="13" hidden="0" customWidth="1"/>
    <x:col min="14" max="14" width="13" hidden="0" customWidth="1"/>
    <x:col min="15" max="15" width="11" hidden="0" customWidth="1"/>
    <x:col min="16" max="16" width="11" hidden="0" customWidth="1"/>
    <x:col min="17" max="17" width="12" hidden="0" customWidth="1"/>
    <x:col min="18" max="18" width="11" hidden="0" customWidth="1"/>
    <x:col min="19" max="19" width="42" hidden="0" customWidth="1"/>
    <x:col min="20" max="20" width="28" hidden="0" customWidth="1"/>
  </x:cols>
  <x:sheetData>
    <x:row r="1">
      <x:c r="A1" s="32" t="str">
        <x:v>WBS ID</x:v>
      </x:c>
      <x:c r="B1" s="32" t="str">
        <x:v>里程碑</x:v>
      </x:c>
      <x:c r="C1" s="32" t="str">
        <x:v>工作流</x:v>
      </x:c>
      <x:c r="D1" s="32" t="str">
        <x:v>任务名称</x:v>
      </x:c>
      <x:c r="E1" s="32" t="str">
        <x:v>交付物</x:v>
      </x:c>
      <x:c r="F1" s="32" t="str">
        <x:v>主责角色</x:v>
      </x:c>
      <x:c r="G1" s="32" t="str">
        <x:v>支持角色</x:v>
      </x:c>
      <x:c r="H1" s="32" t="str">
        <x:v>优先级</x:v>
      </x:c>
      <x:c r="I1" s="32" t="str">
        <x:v>依赖任务</x:v>
      </x:c>
      <x:c r="J1" s="32" t="str">
        <x:v>开始偏移(工作日)</x:v>
      </x:c>
      <x:c r="K1" s="32" t="str">
        <x:v>工期(工作日)</x:v>
      </x:c>
      <x:c r="L1" s="32" t="str">
        <x:v>投入FTE</x:v>
      </x:c>
      <x:c r="M1" s="32" t="str">
        <x:v>计划开始</x:v>
      </x:c>
      <x:c r="N1" s="32" t="str">
        <x:v>计划完成</x:v>
      </x:c>
      <x:c r="O1" s="32" t="str">
        <x:v>计划人日</x:v>
      </x:c>
      <x:c r="P1" s="32" t="str">
        <x:v>健康度</x:v>
      </x:c>
      <x:c r="Q1" s="32" t="str">
        <x:v>状态</x:v>
      </x:c>
      <x:c r="R1" s="32" t="str">
        <x:v>完成度</x:v>
      </x:c>
      <x:c r="S1" s="32" t="str">
        <x:v>验收标准</x:v>
      </x:c>
      <x:c r="T1" s="32" t="str">
        <x:v>备注</x:v>
      </x:c>
    </x:row>
    <x:row r="2">
      <x:c r="A2" s="27" t="str">
        <x:v>M0-01</x:v>
      </x:c>
      <x:c r="B2" s="27" t="str">
        <x:v>M0</x:v>
      </x:c>
      <x:c r="C2" s="27" t="str">
        <x:v>项目管理</x:v>
      </x:c>
      <x:c r="D2" s="27" t="str">
        <x:v>项目启动与角色确认</x:v>
      </x:c>
      <x:c r="E2" s="27" t="str">
        <x:v>项目章程、RACI</x:v>
      </x:c>
      <x:c r="F2" s="27" t="str">
        <x:v>项目经理</x:v>
      </x:c>
      <x:c r="G2" s="27" t="str">
        <x:v>技术负责人</x:v>
      </x:c>
      <x:c r="H2" s="27" t="str">
        <x:v>P0</x:v>
      </x:c>
      <x:c r="I2" s="27" t="str"/>
      <x:c r="J2" s="27" t="n">
        <x:v>0</x:v>
      </x:c>
      <x:c r="K2" s="27" t="n">
        <x:v>1</x:v>
      </x:c>
      <x:c r="L2" s="41" t="n">
        <x:v>0.8</x:v>
      </x:c>
      <x:c r="M2" s="37" t="n">
        <x:f>WORKDAY('执行看板'!$B$4,J2)</x:f>
        <x:v>46223</x:v>
      </x:c>
      <x:c r="N2" s="37" t="n">
        <x:f>WORKDAY(M2,K2-1)</x:f>
        <x:v>46223</x:v>
      </x:c>
      <x:c r="O2" s="41" t="n">
        <x:f>K2*L2</x:f>
        <x:v>0.8</x:v>
      </x:c>
      <x:c r="P2" s="27" t="str">
        <x:f>IF(Q2="已完成","绿色",IF(Q2="阻塞","红色",IF(Q2="延期","红色",IF(AND(TODAY()&gt;N2,R2&lt;1),"黄色",IF(Q2="进行中","蓝色","灰色")))))</x:f>
        <x:v>灰色</x:v>
      </x:c>
      <x:c r="Q2" s="27" t="str">
        <x:v>未开始</x:v>
      </x:c>
      <x:c r="R2" s="39" t="n">
        <x:v>0</x:v>
      </x:c>
      <x:c r="S2" s="27" t="str">
        <x:v>项目角色、决策机制和沟通渠道确认</x:v>
      </x:c>
      <x:c r="T2" s="27" t="str"/>
    </x:row>
    <x:row r="3">
      <x:c r="A3" s="27" t="str">
        <x:v>M0-02</x:v>
      </x:c>
      <x:c r="B3" s="27" t="str">
        <x:v>M0</x:v>
      </x:c>
      <x:c r="C3" s="27" t="str">
        <x:v>工程基线</x:v>
      </x:c>
      <x:c r="D3" s="27" t="str">
        <x:v>确认冻结需求与文档基线</x:v>
      </x:c>
      <x:c r="E3" s="27" t="str">
        <x:v>需求基线清单</x:v>
      </x:c>
      <x:c r="F3" s="27" t="str">
        <x:v>产品负责人</x:v>
      </x:c>
      <x:c r="G3" s="27" t="str">
        <x:v>项目经理</x:v>
      </x:c>
      <x:c r="H3" s="27" t="str">
        <x:v>P0</x:v>
      </x:c>
      <x:c r="I3" s="27" t="str">
        <x:v>M0-01</x:v>
      </x:c>
      <x:c r="J3" s="27" t="n">
        <x:v>0</x:v>
      </x:c>
      <x:c r="K3" s="27" t="n">
        <x:v>1</x:v>
      </x:c>
      <x:c r="L3" s="41" t="n">
        <x:v>0.5</x:v>
      </x:c>
      <x:c r="M3" s="37" t="n">
        <x:f>WORKDAY('执行看板'!$B$4,J3)</x:f>
        <x:v>46223</x:v>
      </x:c>
      <x:c r="N3" s="37" t="n">
        <x:f>WORKDAY(M3,K3-1)</x:f>
        <x:v>46223</x:v>
      </x:c>
      <x:c r="O3" s="41" t="n">
        <x:f>K3*L3</x:f>
        <x:v>0.5</x:v>
      </x:c>
      <x:c r="P3" s="27" t="str">
        <x:f>IF(Q3="已完成","绿色",IF(Q3="阻塞","红色",IF(Q3="延期","红色",IF(AND(TODAY()&gt;N3,R3&lt;1),"黄色",IF(Q3="进行中","蓝色","灰色")))))</x:f>
        <x:v>灰色</x:v>
      </x:c>
      <x:c r="Q3" s="27" t="str">
        <x:v>未开始</x:v>
      </x:c>
      <x:c r="R3" s="39" t="n">
        <x:v>0</x:v>
      </x:c>
      <x:c r="S3" s="27" t="str">
        <x:v>2.1–2.7 与第三批文档版本冻结</x:v>
      </x:c>
      <x:c r="T3" s="27" t="str"/>
    </x:row>
    <x:row r="4">
      <x:c r="A4" s="27" t="str">
        <x:v>M0-03</x:v>
      </x:c>
      <x:c r="B4" s="27" t="str">
        <x:v>M0</x:v>
      </x:c>
      <x:c r="C4" s="27" t="str">
        <x:v>工程基线</x:v>
      </x:c>
      <x:c r="D4" s="27" t="str">
        <x:v>建立代码仓库与分支保护</x:v>
      </x:c>
      <x:c r="E4" s="27" t="str">
        <x:v>受保护的代码仓库</x:v>
      </x:c>
      <x:c r="F4" s="27" t="str">
        <x:v>技术负责人</x:v>
      </x:c>
      <x:c r="G4" s="27" t="str">
        <x:v>发布工程师</x:v>
      </x:c>
      <x:c r="H4" s="27" t="str">
        <x:v>P0</x:v>
      </x:c>
      <x:c r="I4" s="27" t="str">
        <x:v>M0-01</x:v>
      </x:c>
      <x:c r="J4" s="27" t="n">
        <x:v>0</x:v>
      </x:c>
      <x:c r="K4" s="27" t="n">
        <x:v>1</x:v>
      </x:c>
      <x:c r="L4" s="41" t="n">
        <x:v>0.6</x:v>
      </x:c>
      <x:c r="M4" s="37" t="n">
        <x:f>WORKDAY('执行看板'!$B$4,J4)</x:f>
        <x:v>46223</x:v>
      </x:c>
      <x:c r="N4" s="37" t="n">
        <x:f>WORKDAY(M4,K4-1)</x:f>
        <x:v>46223</x:v>
      </x:c>
      <x:c r="O4" s="41" t="n">
        <x:f>K4*L4</x:f>
        <x:v>0.6</x:v>
      </x:c>
      <x:c r="P4" s="27" t="str">
        <x:f>IF(Q4="已完成","绿色",IF(Q4="阻塞","红色",IF(Q4="延期","红色",IF(AND(TODAY()&gt;N4,R4&lt;1),"黄色",IF(Q4="进行中","蓝色","灰色")))))</x:f>
        <x:v>灰色</x:v>
      </x:c>
      <x:c r="Q4" s="27" t="str">
        <x:v>未开始</x:v>
      </x:c>
      <x:c r="R4" s="39" t="n">
        <x:v>0</x:v>
      </x:c>
      <x:c r="S4" s="27" t="str">
        <x:v>main/develop 分支保护和 PR 规则生效</x:v>
      </x:c>
      <x:c r="T4" s="27" t="str"/>
    </x:row>
    <x:row r="5">
      <x:c r="A5" s="27" t="str">
        <x:v>M0-04</x:v>
      </x:c>
      <x:c r="B5" s="27" t="str">
        <x:v>M0</x:v>
      </x:c>
      <x:c r="C5" s="27" t="str">
        <x:v>工程基线</x:v>
      </x:c>
      <x:c r="D5" s="27" t="str">
        <x:v>创建 Python 包骨架</x:v>
      </x:c>
      <x:c r="E5" s="27" t="str">
        <x:v>可安装空包</x:v>
      </x:c>
      <x:c r="F5" s="27" t="str">
        <x:v>核心开发</x:v>
      </x:c>
      <x:c r="G5" s="27" t="str">
        <x:v>技术负责人</x:v>
      </x:c>
      <x:c r="H5" s="27" t="str">
        <x:v>P0</x:v>
      </x:c>
      <x:c r="I5" s="27" t="str">
        <x:v>M0-03</x:v>
      </x:c>
      <x:c r="J5" s="27" t="n">
        <x:v>1</x:v>
      </x:c>
      <x:c r="K5" s="27" t="n">
        <x:v>2</x:v>
      </x:c>
      <x:c r="L5" s="41" t="n">
        <x:v>1</x:v>
      </x:c>
      <x:c r="M5" s="37" t="n">
        <x:f>WORKDAY('执行看板'!$B$4,J5)</x:f>
        <x:v>46224</x:v>
      </x:c>
      <x:c r="N5" s="37" t="n">
        <x:f>WORKDAY(M5,K5-1)</x:f>
        <x:v>46225</x:v>
      </x:c>
      <x:c r="O5" s="41" t="n">
        <x:f>K5*L5</x:f>
        <x:v>2</x:v>
      </x:c>
      <x:c r="P5" s="27" t="str">
        <x:f>IF(Q5="已完成","绿色",IF(Q5="阻塞","红色",IF(Q5="延期","红色",IF(AND(TODAY()&gt;N5,R5&lt;1),"黄色",IF(Q5="进行中","蓝色","灰色")))))</x:f>
        <x:v>灰色</x:v>
      </x:c>
      <x:c r="Q5" s="27" t="str">
        <x:v>未开始</x:v>
      </x:c>
      <x:c r="R5" s="39" t="n">
        <x:v>0</x:v>
      </x:c>
      <x:c r="S5" s="27" t="str">
        <x:v>python -m chinatextbook 与 ctb 均可启动</x:v>
      </x:c>
      <x:c r="T5" s="27" t="str"/>
    </x:row>
    <x:row r="6">
      <x:c r="A6" s="27" t="str">
        <x:v>M0-05</x:v>
      </x:c>
      <x:c r="B6" s="27" t="str">
        <x:v>M0</x:v>
      </x:c>
      <x:c r="C6" s="27" t="str">
        <x:v>工程基线</x:v>
      </x:c>
      <x:c r="D6" s="27" t="str">
        <x:v>配置 lint、type check 和测试框架</x:v>
      </x:c>
      <x:c r="E6" s="27" t="str">
        <x:v>CI 基础配置</x:v>
      </x:c>
      <x:c r="F6" s="27" t="str">
        <x:v>发布工程师</x:v>
      </x:c>
      <x:c r="G6" s="27" t="str">
        <x:v>核心开发</x:v>
      </x:c>
      <x:c r="H6" s="27" t="str">
        <x:v>P0</x:v>
      </x:c>
      <x:c r="I6" s="27" t="str">
        <x:v>M0-04</x:v>
      </x:c>
      <x:c r="J6" s="27" t="n">
        <x:v>1</x:v>
      </x:c>
      <x:c r="K6" s="27" t="n">
        <x:v>2</x:v>
      </x:c>
      <x:c r="L6" s="41" t="n">
        <x:v>0.8</x:v>
      </x:c>
      <x:c r="M6" s="37" t="n">
        <x:f>WORKDAY('执行看板'!$B$4,J6)</x:f>
        <x:v>46224</x:v>
      </x:c>
      <x:c r="N6" s="37" t="n">
        <x:f>WORKDAY(M6,K6-1)</x:f>
        <x:v>46225</x:v>
      </x:c>
      <x:c r="O6" s="41" t="n">
        <x:f>K6*L6</x:f>
        <x:v>1.6</x:v>
      </x:c>
      <x:c r="P6" s="27" t="str">
        <x:f>IF(Q6="已完成","绿色",IF(Q6="阻塞","红色",IF(Q6="延期","红色",IF(AND(TODAY()&gt;N6,R6&lt;1),"黄色",IF(Q6="进行中","蓝色","灰色")))))</x:f>
        <x:v>灰色</x:v>
      </x:c>
      <x:c r="Q6" s="27" t="str">
        <x:v>未开始</x:v>
      </x:c>
      <x:c r="R6" s="39" t="n">
        <x:v>0</x:v>
      </x:c>
      <x:c r="S6" s="27" t="str">
        <x:v>ruff/mypy/pytest 在 CI 正常运行</x:v>
      </x:c>
      <x:c r="T6" s="27" t="str"/>
    </x:row>
    <x:row r="7">
      <x:c r="A7" s="27" t="str">
        <x:v>M0-06</x:v>
      </x:c>
      <x:c r="B7" s="27" t="str">
        <x:v>M0</x:v>
      </x:c>
      <x:c r="C7" s="27" t="str">
        <x:v>工程基线</x:v>
      </x:c>
      <x:c r="D7" s="27" t="str">
        <x:v>配置 Windows 与 Ubuntu CI</x:v>
      </x:c>
      <x:c r="E7" s="27" t="str">
        <x:v>双平台 CI</x:v>
      </x:c>
      <x:c r="F7" s="27" t="str">
        <x:v>发布工程师</x:v>
      </x:c>
      <x:c r="G7" s="27" t="str">
        <x:v>测试工程师</x:v>
      </x:c>
      <x:c r="H7" s="27" t="str">
        <x:v>P0</x:v>
      </x:c>
      <x:c r="I7" s="27" t="str">
        <x:v>M0-05</x:v>
      </x:c>
      <x:c r="J7" s="27" t="n">
        <x:v>2</x:v>
      </x:c>
      <x:c r="K7" s="27" t="n">
        <x:v>2</x:v>
      </x:c>
      <x:c r="L7" s="41" t="n">
        <x:v>0.8</x:v>
      </x:c>
      <x:c r="M7" s="37" t="n">
        <x:f>WORKDAY('执行看板'!$B$4,J7)</x:f>
        <x:v>46225</x:v>
      </x:c>
      <x:c r="N7" s="37" t="n">
        <x:f>WORKDAY(M7,K7-1)</x:f>
        <x:v>46226</x:v>
      </x:c>
      <x:c r="O7" s="41" t="n">
        <x:f>K7*L7</x:f>
        <x:v>1.6</x:v>
      </x:c>
      <x:c r="P7" s="27" t="str">
        <x:f>IF(Q7="已完成","绿色",IF(Q7="阻塞","红色",IF(Q7="延期","红色",IF(AND(TODAY()&gt;N7,R7&lt;1),"黄色",IF(Q7="进行中","蓝色","灰色")))))</x:f>
        <x:v>灰色</x:v>
      </x:c>
      <x:c r="Q7" s="27" t="str">
        <x:v>未开始</x:v>
      </x:c>
      <x:c r="R7" s="39" t="n">
        <x:v>0</x:v>
      </x:c>
      <x:c r="S7" s="27" t="str">
        <x:v>两平台最小测试矩阵通过</x:v>
      </x:c>
      <x:c r="T7" s="27" t="str"/>
    </x:row>
    <x:row r="8">
      <x:c r="A8" s="27" t="str">
        <x:v>M0-07</x:v>
      </x:c>
      <x:c r="B8" s="27" t="str">
        <x:v>M0</x:v>
      </x:c>
      <x:c r="C8" s="27" t="str">
        <x:v>产品基线</x:v>
      </x:c>
      <x:c r="D8" s="27" t="str">
        <x:v>建立开发演示数据与测试仓库</x:v>
      </x:c>
      <x:c r="E8" s="27" t="str">
        <x:v>fixture 仓库</x:v>
      </x:c>
      <x:c r="F8" s="27" t="str">
        <x:v>测试工程师</x:v>
      </x:c>
      <x:c r="G8" s="27" t="str">
        <x:v>核心开发</x:v>
      </x:c>
      <x:c r="H8" s="27" t="str">
        <x:v>P0</x:v>
      </x:c>
      <x:c r="I8" s="27" t="str">
        <x:v>M0-02</x:v>
      </x:c>
      <x:c r="J8" s="27" t="n">
        <x:v>1</x:v>
      </x:c>
      <x:c r="K8" s="27" t="n">
        <x:v>2</x:v>
      </x:c>
      <x:c r="L8" s="41" t="n">
        <x:v>0.8</x:v>
      </x:c>
      <x:c r="M8" s="37" t="n">
        <x:f>WORKDAY('执行看板'!$B$4,J8)</x:f>
        <x:v>46224</x:v>
      </x:c>
      <x:c r="N8" s="37" t="n">
        <x:f>WORKDAY(M8,K8-1)</x:f>
        <x:v>46225</x:v>
      </x:c>
      <x:c r="O8" s="41" t="n">
        <x:f>K8*L8</x:f>
        <x:v>1.6</x:v>
      </x:c>
      <x:c r="P8" s="27" t="str">
        <x:f>IF(Q8="已完成","绿色",IF(Q8="阻塞","红色",IF(Q8="延期","红色",IF(AND(TODAY()&gt;N8,R8&lt;1),"黄色",IF(Q8="进行中","蓝色","灰色")))))</x:f>
        <x:v>灰色</x:v>
      </x:c>
      <x:c r="Q8" s="27" t="str">
        <x:v>未开始</x:v>
      </x:c>
      <x:c r="R8" s="39" t="n">
        <x:v>0</x:v>
      </x:c>
      <x:c r="S8" s="27" t="str">
        <x:v>包含普通 PDF、连续/缺失分卷和异常路径</x:v>
      </x:c>
      <x:c r="T8" s="27" t="str"/>
    </x:row>
    <x:row r="9">
      <x:c r="A9" s="27" t="str">
        <x:v>M0-08</x:v>
      </x:c>
      <x:c r="B9" s="27" t="str">
        <x:v>M0</x:v>
      </x:c>
      <x:c r="C9" s="27" t="str">
        <x:v>项目管理</x:v>
      </x:c>
      <x:c r="D9" s="27" t="str">
        <x:v>M0 评审与退出</x:v>
      </x:c>
      <x:c r="E9" s="27" t="str">
        <x:v>M0 评审记录</x:v>
      </x:c>
      <x:c r="F9" s="27" t="str">
        <x:v>项目经理</x:v>
      </x:c>
      <x:c r="G9" s="27" t="str">
        <x:v>全体</x:v>
      </x:c>
      <x:c r="H9" s="27" t="str">
        <x:v>P0</x:v>
      </x:c>
      <x:c r="I9" s="27" t="str">
        <x:v>M0-04,M0-06,M0-07</x:v>
      </x:c>
      <x:c r="J9" s="27" t="n">
        <x:v>3</x:v>
      </x:c>
      <x:c r="K9" s="27" t="n">
        <x:v>1</x:v>
      </x:c>
      <x:c r="L9" s="41" t="n">
        <x:v>0.5</x:v>
      </x:c>
      <x:c r="M9" s="37" t="n">
        <x:f>WORKDAY('执行看板'!$B$4,J9)</x:f>
        <x:v>46226</x:v>
      </x:c>
      <x:c r="N9" s="37" t="n">
        <x:f>WORKDAY(M9,K9-1)</x:f>
        <x:v>46226</x:v>
      </x:c>
      <x:c r="O9" s="41" t="n">
        <x:f>K9*L9</x:f>
        <x:v>0.5</x:v>
      </x:c>
      <x:c r="P9" s="27" t="str">
        <x:f>IF(Q9="已完成","绿色",IF(Q9="阻塞","红色",IF(Q9="延期","红色",IF(AND(TODAY()&gt;N9,R9&lt;1),"黄色",IF(Q9="进行中","蓝色","灰色")))))</x:f>
        <x:v>灰色</x:v>
      </x:c>
      <x:c r="Q9" s="27" t="str">
        <x:v>未开始</x:v>
      </x:c>
      <x:c r="R9" s="39" t="n">
        <x:v>0</x:v>
      </x:c>
      <x:c r="S9" s="27" t="str">
        <x:v>M0 退出条件全部满足</x:v>
      </x:c>
      <x:c r="T9" s="27" t="str"/>
    </x:row>
    <x:row r="10">
      <x:c r="A10" s="27" t="str">
        <x:v>M1-01</x:v>
      </x:c>
      <x:c r="B10" s="27" t="str">
        <x:v>M1</x:v>
      </x:c>
      <x:c r="C10" s="27" t="str">
        <x:v>架构</x:v>
      </x:c>
      <x:c r="D10" s="27" t="str">
        <x:v>实现配置加载与优先级</x:v>
      </x:c>
      <x:c r="E10" s="27" t="str">
        <x:v>ConfigService</x:v>
      </x:c>
      <x:c r="F10" s="27" t="str">
        <x:v>核心开发</x:v>
      </x:c>
      <x:c r="G10" s="27" t="str">
        <x:v>技术负责人</x:v>
      </x:c>
      <x:c r="H10" s="27" t="str">
        <x:v>P0</x:v>
      </x:c>
      <x:c r="I10" s="27" t="str">
        <x:v>M0-08</x:v>
      </x:c>
      <x:c r="J10" s="27" t="n">
        <x:v>4</x:v>
      </x:c>
      <x:c r="K10" s="27" t="n">
        <x:v>2</x:v>
      </x:c>
      <x:c r="L10" s="41" t="n">
        <x:v>1</x:v>
      </x:c>
      <x:c r="M10" s="37" t="n">
        <x:f>WORKDAY('执行看板'!$B$4,J10)</x:f>
        <x:v>46227</x:v>
      </x:c>
      <x:c r="N10" s="37" t="n">
        <x:f>WORKDAY(M10,K10-1)</x:f>
        <x:v>46230</x:v>
      </x:c>
      <x:c r="O10" s="41" t="n">
        <x:f>K10*L10</x:f>
        <x:v>2</x:v>
      </x:c>
      <x:c r="P10" s="27" t="str">
        <x:f>IF(Q10="已完成","绿色",IF(Q10="阻塞","红色",IF(Q10="延期","红色",IF(AND(TODAY()&gt;N10,R10&lt;1),"黄色",IF(Q10="进行中","蓝色","灰色")))))</x:f>
        <x:v>灰色</x:v>
      </x:c>
      <x:c r="Q10" s="27" t="str">
        <x:v>未开始</x:v>
      </x:c>
      <x:c r="R10" s="39" t="n">
        <x:v>0</x:v>
      </x:c>
      <x:c r="S10" s="27" t="str">
        <x:v>默认值&lt;配置文件&lt;环境变量&lt;CLI</x:v>
      </x:c>
      <x:c r="T10" s="27" t="str"/>
    </x:row>
    <x:row r="11">
      <x:c r="A11" s="27" t="str">
        <x:v>M1-02</x:v>
      </x:c>
      <x:c r="B11" s="27" t="str">
        <x:v>M1</x:v>
      </x:c>
      <x:c r="C11" s="27" t="str">
        <x:v>架构</x:v>
      </x:c>
      <x:c r="D11" s="27" t="str">
        <x:v>实现跨平台目录解析</x:v>
      </x:c>
      <x:c r="E11" s="27" t="str">
        <x:v>PathPolicy</x:v>
      </x:c>
      <x:c r="F11" s="27" t="str">
        <x:v>核心开发</x:v>
      </x:c>
      <x:c r="G11" s="27" t="str">
        <x:v>测试工程师</x:v>
      </x:c>
      <x:c r="H11" s="27" t="str">
        <x:v>P0</x:v>
      </x:c>
      <x:c r="I11" s="27" t="str">
        <x:v>M0-08</x:v>
      </x:c>
      <x:c r="J11" s="27" t="n">
        <x:v>4</x:v>
      </x:c>
      <x:c r="K11" s="27" t="n">
        <x:v>2</x:v>
      </x:c>
      <x:c r="L11" s="41" t="n">
        <x:v>0.8</x:v>
      </x:c>
      <x:c r="M11" s="37" t="n">
        <x:f>WORKDAY('执行看板'!$B$4,J11)</x:f>
        <x:v>46227</x:v>
      </x:c>
      <x:c r="N11" s="37" t="n">
        <x:f>WORKDAY(M11,K11-1)</x:f>
        <x:v>46230</x:v>
      </x:c>
      <x:c r="O11" s="41" t="n">
        <x:f>K11*L11</x:f>
        <x:v>1.6</x:v>
      </x:c>
      <x:c r="P11" s="27" t="str">
        <x:f>IF(Q11="已完成","绿色",IF(Q11="阻塞","红色",IF(Q11="延期","红色",IF(AND(TODAY()&gt;N11,R11&lt;1),"黄色",IF(Q11="进行中","蓝色","灰色")))))</x:f>
        <x:v>灰色</x:v>
      </x:c>
      <x:c r="Q11" s="27" t="str">
        <x:v>未开始</x:v>
      </x:c>
      <x:c r="R11" s="39" t="n">
        <x:v>0</x:v>
      </x:c>
      <x:c r="S11" s="27" t="str">
        <x:v>Windows/Ubuntu 目录符合 2.6</x:v>
      </x:c>
      <x:c r="T11" s="27" t="str"/>
    </x:row>
    <x:row r="12">
      <x:c r="A12" s="27" t="str">
        <x:v>M1-03</x:v>
      </x:c>
      <x:c r="B12" s="27" t="str">
        <x:v>M1</x:v>
      </x:c>
      <x:c r="C12" s="27" t="str">
        <x:v>状态</x:v>
      </x:c>
      <x:c r="D12" s="27" t="str">
        <x:v>实现状态 Schema 校验</x:v>
      </x:c>
      <x:c r="E12" s="27" t="str">
        <x:v>StateValidator</x:v>
      </x:c>
      <x:c r="F12" s="27" t="str">
        <x:v>核心开发</x:v>
      </x:c>
      <x:c r="G12" s="27" t="str">
        <x:v>测试工程师</x:v>
      </x:c>
      <x:c r="H12" s="27" t="str">
        <x:v>P0</x:v>
      </x:c>
      <x:c r="I12" s="27" t="str">
        <x:v>M1-01</x:v>
      </x:c>
      <x:c r="J12" s="27" t="n">
        <x:v>5</x:v>
      </x:c>
      <x:c r="K12" s="27" t="n">
        <x:v>3</x:v>
      </x:c>
      <x:c r="L12" s="41" t="n">
        <x:v>1</x:v>
      </x:c>
      <x:c r="M12" s="37" t="n">
        <x:f>WORKDAY('执行看板'!$B$4,J12)</x:f>
        <x:v>46230</x:v>
      </x:c>
      <x:c r="N12" s="37" t="n">
        <x:f>WORKDAY(M12,K12-1)</x:f>
        <x:v>46232</x:v>
      </x:c>
      <x:c r="O12" s="41" t="n">
        <x:f>K12*L12</x:f>
        <x:v>3</x:v>
      </x:c>
      <x:c r="P12" s="27" t="str">
        <x:f>IF(Q12="已完成","绿色",IF(Q12="阻塞","红色",IF(Q12="延期","红色",IF(AND(TODAY()&gt;N12,R12&lt;1),"黄色",IF(Q12="进行中","蓝色","灰色")))))</x:f>
        <x:v>灰色</x:v>
      </x:c>
      <x:c r="Q12" s="27" t="str">
        <x:v>未开始</x:v>
      </x:c>
      <x:c r="R12" s="39" t="n">
        <x:v>0</x:v>
      </x:c>
      <x:c r="S12" s="27" t="str">
        <x:v>合法状态通过；损坏状态进入安全路径</x:v>
      </x:c>
      <x:c r="T12" s="27" t="str"/>
    </x:row>
    <x:row r="13">
      <x:c r="A13" s="27" t="str">
        <x:v>M1-04</x:v>
      </x:c>
      <x:c r="B13" s="27" t="str">
        <x:v>M1</x:v>
      </x:c>
      <x:c r="C13" s="27" t="str">
        <x:v>状态</x:v>
      </x:c>
      <x:c r="D13" s="27" t="str">
        <x:v>实现原子写入与备份</x:v>
      </x:c>
      <x:c r="E13" s="27" t="str">
        <x:v>AtomicStateStore</x:v>
      </x:c>
      <x:c r="F13" s="27" t="str">
        <x:v>核心开发</x:v>
      </x:c>
      <x:c r="G13" s="27" t="str">
        <x:v>技术负责人</x:v>
      </x:c>
      <x:c r="H13" s="27" t="str">
        <x:v>P0</x:v>
      </x:c>
      <x:c r="I13" s="27" t="str">
        <x:v>M1-03</x:v>
      </x:c>
      <x:c r="J13" s="27" t="n">
        <x:v>7</x:v>
      </x:c>
      <x:c r="K13" s="27" t="n">
        <x:v>3</x:v>
      </x:c>
      <x:c r="L13" s="41" t="n">
        <x:v>1</x:v>
      </x:c>
      <x:c r="M13" s="37" t="n">
        <x:f>WORKDAY('执行看板'!$B$4,J13)</x:f>
        <x:v>46232</x:v>
      </x:c>
      <x:c r="N13" s="37" t="n">
        <x:f>WORKDAY(M13,K13-1)</x:f>
        <x:v>46234</x:v>
      </x:c>
      <x:c r="O13" s="41" t="n">
        <x:f>K13*L13</x:f>
        <x:v>3</x:v>
      </x:c>
      <x:c r="P13" s="27" t="str">
        <x:f>IF(Q13="已完成","绿色",IF(Q13="阻塞","红色",IF(Q13="延期","红色",IF(AND(TODAY()&gt;N13,R13&lt;1),"黄色",IF(Q13="进行中","蓝色","灰色")))))</x:f>
        <x:v>灰色</x:v>
      </x:c>
      <x:c r="Q13" s="27" t="str">
        <x:v>未开始</x:v>
      </x:c>
      <x:c r="R13" s="39" t="n">
        <x:v>0</x:v>
      </x:c>
      <x:c r="S13" s="27" t="str">
        <x:v>临时文件、fsync、replace、备份流程完整</x:v>
      </x:c>
      <x:c r="T13" s="27" t="str"/>
    </x:row>
    <x:row r="14">
      <x:c r="A14" s="27" t="str">
        <x:v>M1-05</x:v>
      </x:c>
      <x:c r="B14" s="27" t="str">
        <x:v>M1</x:v>
      </x:c>
      <x:c r="C14" s="27" t="str">
        <x:v>状态</x:v>
      </x:c>
      <x:c r="D14" s="27" t="str">
        <x:v>实现进程锁与双实例处理</x:v>
      </x:c>
      <x:c r="E14" s="27" t="str">
        <x:v>InstanceLock</x:v>
      </x:c>
      <x:c r="F14" s="27" t="str">
        <x:v>核心开发</x:v>
      </x:c>
      <x:c r="G14" s="27" t="str">
        <x:v>测试工程师</x:v>
      </x:c>
      <x:c r="H14" s="27" t="str">
        <x:v>P0</x:v>
      </x:c>
      <x:c r="I14" s="27" t="str">
        <x:v>M1-02</x:v>
      </x:c>
      <x:c r="J14" s="27" t="n">
        <x:v>7</x:v>
      </x:c>
      <x:c r="K14" s="27" t="n">
        <x:v>2</x:v>
      </x:c>
      <x:c r="L14" s="41" t="n">
        <x:v>0.8</x:v>
      </x:c>
      <x:c r="M14" s="37" t="n">
        <x:f>WORKDAY('执行看板'!$B$4,J14)</x:f>
        <x:v>46232</x:v>
      </x:c>
      <x:c r="N14" s="37" t="n">
        <x:f>WORKDAY(M14,K14-1)</x:f>
        <x:v>46233</x:v>
      </x:c>
      <x:c r="O14" s="41" t="n">
        <x:f>K14*L14</x:f>
        <x:v>1.6</x:v>
      </x:c>
      <x:c r="P14" s="27" t="str">
        <x:f>IF(Q14="已完成","绿色",IF(Q14="阻塞","红色",IF(Q14="延期","红色",IF(AND(TODAY()&gt;N14,R14&lt;1),"黄色",IF(Q14="进行中","蓝色","灰色")))))</x:f>
        <x:v>灰色</x:v>
      </x:c>
      <x:c r="Q14" s="27" t="str">
        <x:v>未开始</x:v>
      </x:c>
      <x:c r="R14" s="39" t="n">
        <x:v>0</x:v>
      </x:c>
      <x:c r="S14" s="27" t="str">
        <x:v>第二实例不得双写状态</x:v>
      </x:c>
      <x:c r="T14" s="27" t="str"/>
    </x:row>
    <x:row r="15">
      <x:c r="A15" s="27" t="str">
        <x:v>M1-06</x:v>
      </x:c>
      <x:c r="B15" s="27" t="str">
        <x:v>M1</x:v>
      </x:c>
      <x:c r="C15" s="27" t="str">
        <x:v>日志</x:v>
      </x:c>
      <x:c r="D15" s="27" t="str">
        <x:v>实现异步日志管线</x:v>
      </x:c>
      <x:c r="E15" s="27" t="str">
        <x:v>LoggingService</x:v>
      </x:c>
      <x:c r="F15" s="27" t="str">
        <x:v>核心开发</x:v>
      </x:c>
      <x:c r="G15" s="27" t="str">
        <x:v>发布工程师</x:v>
      </x:c>
      <x:c r="H15" s="27" t="str">
        <x:v>P0</x:v>
      </x:c>
      <x:c r="I15" s="27" t="str">
        <x:v>M1-01</x:v>
      </x:c>
      <x:c r="J15" s="27" t="n">
        <x:v>5</x:v>
      </x:c>
      <x:c r="K15" s="27" t="n">
        <x:v>3</x:v>
      </x:c>
      <x:c r="L15" s="41" t="n">
        <x:v>1</x:v>
      </x:c>
      <x:c r="M15" s="37" t="n">
        <x:f>WORKDAY('执行看板'!$B$4,J15)</x:f>
        <x:v>46230</x:v>
      </x:c>
      <x:c r="N15" s="37" t="n">
        <x:f>WORKDAY(M15,K15-1)</x:f>
        <x:v>46232</x:v>
      </x:c>
      <x:c r="O15" s="41" t="n">
        <x:f>K15*L15</x:f>
        <x:v>3</x:v>
      </x:c>
      <x:c r="P15" s="27" t="str">
        <x:f>IF(Q15="已完成","绿色",IF(Q15="阻塞","红色",IF(Q15="延期","红色",IF(AND(TODAY()&gt;N15,R15&lt;1),"黄色",IF(Q15="进行中","蓝色","灰色")))))</x:f>
        <x:v>灰色</x:v>
      </x:c>
      <x:c r="Q15" s="27" t="str">
        <x:v>未开始</x:v>
      </x:c>
      <x:c r="R15" s="39" t="n">
        <x:v>0</x:v>
      </x:c>
      <x:c r="S15" s="27" t="str">
        <x:v>QueueHandler/QueueListener 与轮转可用</x:v>
      </x:c>
      <x:c r="T15" s="27" t="str"/>
    </x:row>
    <x:row r="16">
      <x:c r="A16" s="27" t="str">
        <x:v>M1-07</x:v>
      </x:c>
      <x:c r="B16" s="27" t="str">
        <x:v>M1</x:v>
      </x:c>
      <x:c r="C16" s="27" t="str">
        <x:v>日志</x:v>
      </x:c>
      <x:c r="D16" s="27" t="str">
        <x:v>实现日志脱敏与诊断上下文</x:v>
      </x:c>
      <x:c r="E16" s="27" t="str">
        <x:v>RedactionFilter</x:v>
      </x:c>
      <x:c r="F16" s="27" t="str">
        <x:v>核心开发</x:v>
      </x:c>
      <x:c r="G16" s="27" t="str">
        <x:v>测试工程师</x:v>
      </x:c>
      <x:c r="H16" s="27" t="str">
        <x:v>P0</x:v>
      </x:c>
      <x:c r="I16" s="27" t="str">
        <x:v>M1-06</x:v>
      </x:c>
      <x:c r="J16" s="27" t="n">
        <x:v>7</x:v>
      </x:c>
      <x:c r="K16" s="27" t="n">
        <x:v>2</x:v>
      </x:c>
      <x:c r="L16" s="41" t="n">
        <x:v>0.8</x:v>
      </x:c>
      <x:c r="M16" s="37" t="n">
        <x:f>WORKDAY('执行看板'!$B$4,J16)</x:f>
        <x:v>46232</x:v>
      </x:c>
      <x:c r="N16" s="37" t="n">
        <x:f>WORKDAY(M16,K16-1)</x:f>
        <x:v>46233</x:v>
      </x:c>
      <x:c r="O16" s="41" t="n">
        <x:f>K16*L16</x:f>
        <x:v>1.6</x:v>
      </x:c>
      <x:c r="P16" s="27" t="str">
        <x:f>IF(Q16="已完成","绿色",IF(Q16="阻塞","红色",IF(Q16="延期","红色",IF(AND(TODAY()&gt;N16,R16&lt;1),"黄色",IF(Q16="进行中","蓝色","灰色")))))</x:f>
        <x:v>灰色</x:v>
      </x:c>
      <x:c r="Q16" s="27" t="str">
        <x:v>未开始</x:v>
      </x:c>
      <x:c r="R16" s="39" t="n">
        <x:v>0</x:v>
      </x:c>
      <x:c r="S16" s="27" t="str">
        <x:v>token、主目录等敏感信息被脱敏</x:v>
      </x:c>
      <x:c r="T16" s="27" t="str"/>
    </x:row>
    <x:row r="17">
      <x:c r="A17" s="27" t="str">
        <x:v>M1-08</x:v>
      </x:c>
      <x:c r="B17" s="27" t="str">
        <x:v>M1</x:v>
      </x:c>
      <x:c r="C17" s="27" t="str">
        <x:v>任务</x:v>
      </x:c>
      <x:c r="D17" s="27" t="str">
        <x:v>实现 TaskController 与队列</x:v>
      </x:c>
      <x:c r="E17" s="27" t="str">
        <x:v>TaskController</x:v>
      </x:c>
      <x:c r="F17" s="27" t="str">
        <x:v>核心开发</x:v>
      </x:c>
      <x:c r="G17" s="27" t="str">
        <x:v>技术负责人</x:v>
      </x:c>
      <x:c r="H17" s="27" t="str">
        <x:v>P0</x:v>
      </x:c>
      <x:c r="I17" s="27" t="str">
        <x:v>M1-03</x:v>
      </x:c>
      <x:c r="J17" s="27" t="n">
        <x:v>8</x:v>
      </x:c>
      <x:c r="K17" s="27" t="n">
        <x:v>4</x:v>
      </x:c>
      <x:c r="L17" s="41" t="n">
        <x:v>1</x:v>
      </x:c>
      <x:c r="M17" s="37" t="n">
        <x:f>WORKDAY('执行看板'!$B$4,J17)</x:f>
        <x:v>46233</x:v>
      </x:c>
      <x:c r="N17" s="37" t="n">
        <x:f>WORKDAY(M17,K17-1)</x:f>
        <x:v>46238</x:v>
      </x:c>
      <x:c r="O17" s="41" t="n">
        <x:f>K17*L17</x:f>
        <x:v>4</x:v>
      </x:c>
      <x:c r="P17" s="27" t="str">
        <x:f>IF(Q17="已完成","绿色",IF(Q17="阻塞","红色",IF(Q17="延期","红色",IF(AND(TODAY()&gt;N17,R17&lt;1),"黄色",IF(Q17="进行中","蓝色","灰色")))))</x:f>
        <x:v>灰色</x:v>
      </x:c>
      <x:c r="Q17" s="27" t="str">
        <x:v>未开始</x:v>
      </x:c>
      <x:c r="R17" s="39" t="n">
        <x:v>0</x:v>
      </x:c>
      <x:c r="S17" s="27" t="str">
        <x:v>支持优先级、资源锁和任务事件</x:v>
      </x:c>
      <x:c r="T17" s="27" t="str"/>
    </x:row>
    <x:row r="18">
      <x:c r="A18" s="27" t="str">
        <x:v>M1-09</x:v>
      </x:c>
      <x:c r="B18" s="27" t="str">
        <x:v>M1</x:v>
      </x:c>
      <x:c r="C18" s="27" t="str">
        <x:v>任务</x:v>
      </x:c>
      <x:c r="D18" s="27" t="str">
        <x:v>实现业务状态机与 CAS</x:v>
      </x:c>
      <x:c r="E18" s="27" t="str">
        <x:v>TaskStateMachine</x:v>
      </x:c>
      <x:c r="F18" s="27" t="str">
        <x:v>核心开发</x:v>
      </x:c>
      <x:c r="G18" s="27" t="str">
        <x:v>测试工程师</x:v>
      </x:c>
      <x:c r="H18" s="27" t="str">
        <x:v>P0</x:v>
      </x:c>
      <x:c r="I18" s="27" t="str">
        <x:v>M1-08</x:v>
      </x:c>
      <x:c r="J18" s="27" t="n">
        <x:v>10</x:v>
      </x:c>
      <x:c r="K18" s="27" t="n">
        <x:v>3</x:v>
      </x:c>
      <x:c r="L18" s="41" t="n">
        <x:v>1</x:v>
      </x:c>
      <x:c r="M18" s="37" t="n">
        <x:f>WORKDAY('执行看板'!$B$4,J18)</x:f>
        <x:v>46237</x:v>
      </x:c>
      <x:c r="N18" s="37" t="n">
        <x:f>WORKDAY(M18,K18-1)</x:f>
        <x:v>46239</x:v>
      </x:c>
      <x:c r="O18" s="41" t="n">
        <x:f>K18*L18</x:f>
        <x:v>3</x:v>
      </x:c>
      <x:c r="P18" s="27" t="str">
        <x:f>IF(Q18="已完成","绿色",IF(Q18="阻塞","红色",IF(Q18="延期","红色",IF(AND(TODAY()&gt;N18,R18&lt;1),"黄色",IF(Q18="进行中","蓝色","灰色")))))</x:f>
        <x:v>灰色</x:v>
      </x:c>
      <x:c r="Q18" s="27" t="str">
        <x:v>未开始</x:v>
      </x:c>
      <x:c r="R18" s="39" t="n">
        <x:v>0</x:v>
      </x:c>
      <x:c r="S18" s="27" t="str">
        <x:v>状态转换符合 2.4，竞态不可覆盖</x:v>
      </x:c>
      <x:c r="T18" s="27" t="str"/>
    </x:row>
    <x:row r="19">
      <x:c r="A19" s="27" t="str">
        <x:v>M1-10</x:v>
      </x:c>
      <x:c r="B19" s="27" t="str">
        <x:v>M1</x:v>
      </x:c>
      <x:c r="C19" s="27" t="str">
        <x:v>架构</x:v>
      </x:c>
      <x:c r="D19" s="27" t="str">
        <x:v>实现领域模型与 Protocol 接口</x:v>
      </x:c>
      <x:c r="E19" s="27" t="str">
        <x:v>models/protocols</x:v>
      </x:c>
      <x:c r="F19" s="27" t="str">
        <x:v>核心开发</x:v>
      </x:c>
      <x:c r="G19" s="27" t="str">
        <x:v>技术负责人</x:v>
      </x:c>
      <x:c r="H19" s="27" t="str">
        <x:v>P0</x:v>
      </x:c>
      <x:c r="I19" s="27" t="str">
        <x:v>M1-03</x:v>
      </x:c>
      <x:c r="J19" s="27" t="n">
        <x:v>6</x:v>
      </x:c>
      <x:c r="K19" s="27" t="n">
        <x:v>3</x:v>
      </x:c>
      <x:c r="L19" s="41" t="n">
        <x:v>1</x:v>
      </x:c>
      <x:c r="M19" s="37" t="n">
        <x:f>WORKDAY('执行看板'!$B$4,J19)</x:f>
        <x:v>46231</x:v>
      </x:c>
      <x:c r="N19" s="37" t="n">
        <x:f>WORKDAY(M19,K19-1)</x:f>
        <x:v>46233</x:v>
      </x:c>
      <x:c r="O19" s="41" t="n">
        <x:f>K19*L19</x:f>
        <x:v>3</x:v>
      </x:c>
      <x:c r="P19" s="27" t="str">
        <x:f>IF(Q19="已完成","绿色",IF(Q19="阻塞","红色",IF(Q19="延期","红色",IF(AND(TODAY()&gt;N19,R19&lt;1),"黄色",IF(Q19="进行中","蓝色","灰色")))))</x:f>
        <x:v>灰色</x:v>
      </x:c>
      <x:c r="Q19" s="27" t="str">
        <x:v>未开始</x:v>
      </x:c>
      <x:c r="R19" s="39" t="n">
        <x:v>0</x:v>
      </x:c>
      <x:c r="S19" s="27" t="str">
        <x:v>Book、SourceFile、Group、Task 可序列化</x:v>
      </x:c>
      <x:c r="T19" s="27" t="str"/>
    </x:row>
    <x:row r="20">
      <x:c r="A20" s="27" t="str">
        <x:v>M1-11</x:v>
      </x:c>
      <x:c r="B20" s="27" t="str">
        <x:v>M1</x:v>
      </x:c>
      <x:c r="C20" s="27" t="str">
        <x:v>项目管理</x:v>
      </x:c>
      <x:c r="D20" s="27" t="str">
        <x:v>M1 架构评审</x:v>
      </x:c>
      <x:c r="E20" s="27" t="str">
        <x:v>M1 评审记录</x:v>
      </x:c>
      <x:c r="F20" s="27" t="str">
        <x:v>技术负责人</x:v>
      </x:c>
      <x:c r="G20" s="27" t="str">
        <x:v>项目经理</x:v>
      </x:c>
      <x:c r="H20" s="27" t="str">
        <x:v>P0</x:v>
      </x:c>
      <x:c r="I20" s="27" t="str">
        <x:v>M1-04,M1-05,M1-07,M1-09,M1-10</x:v>
      </x:c>
      <x:c r="J20" s="27" t="n">
        <x:v>13</x:v>
      </x:c>
      <x:c r="K20" s="27" t="n">
        <x:v>1</x:v>
      </x:c>
      <x:c r="L20" s="41" t="n">
        <x:v>0.5</x:v>
      </x:c>
      <x:c r="M20" s="37" t="n">
        <x:f>WORKDAY('执行看板'!$B$4,J20)</x:f>
        <x:v>46240</x:v>
      </x:c>
      <x:c r="N20" s="37" t="n">
        <x:f>WORKDAY(M20,K20-1)</x:f>
        <x:v>46240</x:v>
      </x:c>
      <x:c r="O20" s="41" t="n">
        <x:f>K20*L20</x:f>
        <x:v>0.5</x:v>
      </x:c>
      <x:c r="P20" s="27" t="str">
        <x:f>IF(Q20="已完成","绿色",IF(Q20="阻塞","红色",IF(Q20="延期","红色",IF(AND(TODAY()&gt;N20,R20&lt;1),"黄色",IF(Q20="进行中","蓝色","灰色")))))</x:f>
        <x:v>灰色</x:v>
      </x:c>
      <x:c r="Q20" s="27" t="str">
        <x:v>未开始</x:v>
      </x:c>
      <x:c r="R20" s="39" t="n">
        <x:v>0</x:v>
      </x:c>
      <x:c r="S20" s="27" t="str">
        <x:v>架构评审清单无阻塞项</x:v>
      </x:c>
      <x:c r="T20" s="27" t="str"/>
    </x:row>
    <x:row r="21">
      <x:c r="A21" s="27" t="str">
        <x:v>M2-01</x:v>
      </x:c>
      <x:c r="B21" s="27" t="str">
        <x:v>M2</x:v>
      </x:c>
      <x:c r="C21" s="27" t="str">
        <x:v>Git</x:v>
      </x:c>
      <x:c r="D21" s="27" t="str">
        <x:v>实现 Git 环境检测</x:v>
      </x:c>
      <x:c r="E21" s="27" t="str">
        <x:v>GitCapabilityProbe</x:v>
      </x:c>
      <x:c r="F21" s="27" t="str">
        <x:v>核心开发</x:v>
      </x:c>
      <x:c r="G21" s="27" t="str">
        <x:v>测试工程师</x:v>
      </x:c>
      <x:c r="H21" s="27" t="str">
        <x:v>P0</x:v>
      </x:c>
      <x:c r="I21" s="27" t="str">
        <x:v>M1-11</x:v>
      </x:c>
      <x:c r="J21" s="27" t="n">
        <x:v>14</x:v>
      </x:c>
      <x:c r="K21" s="27" t="n">
        <x:v>2</x:v>
      </x:c>
      <x:c r="L21" s="41" t="n">
        <x:v>0.8</x:v>
      </x:c>
      <x:c r="M21" s="37" t="n">
        <x:f>WORKDAY('执行看板'!$B$4,J21)</x:f>
        <x:v>46241</x:v>
      </x:c>
      <x:c r="N21" s="37" t="n">
        <x:f>WORKDAY(M21,K21-1)</x:f>
        <x:v>46244</x:v>
      </x:c>
      <x:c r="O21" s="41" t="n">
        <x:f>K21*L21</x:f>
        <x:v>1.6</x:v>
      </x:c>
      <x:c r="P21" s="27" t="str">
        <x:f>IF(Q21="已完成","绿色",IF(Q21="阻塞","红色",IF(Q21="延期","红色",IF(AND(TODAY()&gt;N21,R21&lt;1),"黄色",IF(Q21="进行中","蓝色","灰色")))))</x:f>
        <x:v>灰色</x:v>
      </x:c>
      <x:c r="Q21" s="27" t="str">
        <x:v>未开始</x:v>
      </x:c>
      <x:c r="R21" s="39" t="n">
        <x:v>0</x:v>
      </x:c>
      <x:c r="S21" s="27" t="str">
        <x:v>版本、partial clone、sparse-checkout 能力明确</x:v>
      </x:c>
      <x:c r="T21" s="27" t="str"/>
    </x:row>
    <x:row r="22">
      <x:c r="A22" s="27" t="str">
        <x:v>M2-02</x:v>
      </x:c>
      <x:c r="B22" s="27" t="str">
        <x:v>M2</x:v>
      </x:c>
      <x:c r="C22" s="27" t="str">
        <x:v>Git</x:v>
      </x:c>
      <x:c r="D22" s="27" t="str">
        <x:v>实现官方仓库校验</x:v>
      </x:c>
      <x:c r="E22" s="27" t="str">
        <x:v>RepositoryPolicy</x:v>
      </x:c>
      <x:c r="F22" s="27" t="str">
        <x:v>核心开发</x:v>
      </x:c>
      <x:c r="G22" s="27" t="str">
        <x:v>技术负责人</x:v>
      </x:c>
      <x:c r="H22" s="27" t="str">
        <x:v>P0</x:v>
      </x:c>
      <x:c r="I22" s="27" t="str">
        <x:v>M2-01</x:v>
      </x:c>
      <x:c r="J22" s="27" t="n">
        <x:v>15</x:v>
      </x:c>
      <x:c r="K22" s="27" t="n">
        <x:v>2</x:v>
      </x:c>
      <x:c r="L22" s="41" t="n">
        <x:v>0.8</x:v>
      </x:c>
      <x:c r="M22" s="37" t="n">
        <x:f>WORKDAY('执行看板'!$B$4,J22)</x:f>
        <x:v>46244</x:v>
      </x:c>
      <x:c r="N22" s="37" t="n">
        <x:f>WORKDAY(M22,K22-1)</x:f>
        <x:v>46245</x:v>
      </x:c>
      <x:c r="O22" s="41" t="n">
        <x:f>K22*L22</x:f>
        <x:v>1.6</x:v>
      </x:c>
      <x:c r="P22" s="27" t="str">
        <x:f>IF(Q22="已完成","绿色",IF(Q22="阻塞","红色",IF(Q22="延期","红色",IF(AND(TODAY()&gt;N22,R22&lt;1),"黄色",IF(Q22="进行中","蓝色","灰色")))))</x:f>
        <x:v>灰色</x:v>
      </x:c>
      <x:c r="Q22" s="27" t="str">
        <x:v>未开始</x:v>
      </x:c>
      <x:c r="R22" s="39" t="n">
        <x:v>0</x:v>
      </x:c>
      <x:c r="S22" s="27" t="str">
        <x:v>只接受官方 GitHub 仓库</x:v>
      </x:c>
      <x:c r="T22" s="27" t="str"/>
    </x:row>
    <x:row r="23">
      <x:c r="A23" s="27" t="str">
        <x:v>M2-03</x:v>
      </x:c>
      <x:c r="B23" s="27" t="str">
        <x:v>M2</x:v>
      </x:c>
      <x:c r="C23" s="27" t="str">
        <x:v>目录</x:v>
      </x:c>
      <x:c r="D23" s="27" t="str">
        <x:v>实现 Git Tree 解析</x:v>
      </x:c>
      <x:c r="E23" s="27" t="str">
        <x:v>CatalogSource</x:v>
      </x:c>
      <x:c r="F23" s="27" t="str">
        <x:v>核心开发</x:v>
      </x:c>
      <x:c r="G23" s="27" t="str">
        <x:v>测试工程师</x:v>
      </x:c>
      <x:c r="H23" s="27" t="str">
        <x:v>P0</x:v>
      </x:c>
      <x:c r="I23" s="27" t="str">
        <x:v>M2-02</x:v>
      </x:c>
      <x:c r="J23" s="27" t="n">
        <x:v>16</x:v>
      </x:c>
      <x:c r="K23" s="27" t="n">
        <x:v>3</x:v>
      </x:c>
      <x:c r="L23" s="41" t="n">
        <x:v>1</x:v>
      </x:c>
      <x:c r="M23" s="37" t="n">
        <x:f>WORKDAY('执行看板'!$B$4,J23)</x:f>
        <x:v>46245</x:v>
      </x:c>
      <x:c r="N23" s="37" t="n">
        <x:f>WORKDAY(M23,K23-1)</x:f>
        <x:v>46247</x:v>
      </x:c>
      <x:c r="O23" s="41" t="n">
        <x:f>K23*L23</x:f>
        <x:v>3</x:v>
      </x:c>
      <x:c r="P23" s="27" t="str">
        <x:f>IF(Q23="已完成","绿色",IF(Q23="阻塞","红色",IF(Q23="延期","红色",IF(AND(TODAY()&gt;N23,R23&lt;1),"黄色",IF(Q23="进行中","蓝色","灰色")))))</x:f>
        <x:v>灰色</x:v>
      </x:c>
      <x:c r="Q23" s="27" t="str">
        <x:v>未开始</x:v>
      </x:c>
      <x:c r="R23" s="39" t="n">
        <x:v>0</x:v>
      </x:c>
      <x:c r="S23" s="27" t="str">
        <x:v>准确读取教材路径并忽略无关文件</x:v>
      </x:c>
      <x:c r="T23" s="27" t="str"/>
    </x:row>
    <x:row r="24">
      <x:c r="A24" s="27" t="str">
        <x:v>M2-04</x:v>
      </x:c>
      <x:c r="B24" s="27" t="str">
        <x:v>M2</x:v>
      </x:c>
      <x:c r="C24" s="27" t="str">
        <x:v>目录</x:v>
      </x:c>
      <x:c r="D24" s="27" t="str">
        <x:v>实现 Book 聚合算法</x:v>
      </x:c>
      <x:c r="E24" s="27" t="str">
        <x:v>CatalogBuilder</x:v>
      </x:c>
      <x:c r="F24" s="27" t="str">
        <x:v>核心开发</x:v>
      </x:c>
      <x:c r="G24" s="27" t="str">
        <x:v>技术负责人</x:v>
      </x:c>
      <x:c r="H24" s="27" t="str">
        <x:v>P0</x:v>
      </x:c>
      <x:c r="I24" s="27" t="str">
        <x:v>M2-03</x:v>
      </x:c>
      <x:c r="J24" s="27" t="n">
        <x:v>18</x:v>
      </x:c>
      <x:c r="K24" s="27" t="n">
        <x:v>4</x:v>
      </x:c>
      <x:c r="L24" s="41" t="n">
        <x:v>1</x:v>
      </x:c>
      <x:c r="M24" s="37" t="n">
        <x:f>WORKDAY('执行看板'!$B$4,J24)</x:f>
        <x:v>46247</x:v>
      </x:c>
      <x:c r="N24" s="37" t="n">
        <x:f>WORKDAY(M24,K24-1)</x:f>
        <x:v>46252</x:v>
      </x:c>
      <x:c r="O24" s="41" t="n">
        <x:f>K24*L24</x:f>
        <x:v>4</x:v>
      </x:c>
      <x:c r="P24" s="27" t="str">
        <x:f>IF(Q24="已完成","绿色",IF(Q24="阻塞","红色",IF(Q24="延期","红色",IF(AND(TODAY()&gt;N24,R24&lt;1),"黄色",IF(Q24="进行中","蓝色","灰色")))))</x:f>
        <x:v>灰色</x:v>
      </x:c>
      <x:c r="Q24" s="27" t="str">
        <x:v>未开始</x:v>
      </x:c>
      <x:c r="R24" s="39" t="n">
        <x:v>0</x:v>
      </x:c>
      <x:c r="S24" s="27" t="str">
        <x:v>普通 PDF 和分卷正确聚合；异常 fail-closed</x:v>
      </x:c>
      <x:c r="T24" s="27" t="str"/>
    </x:row>
    <x:row r="25">
      <x:c r="A25" s="27" t="str">
        <x:v>M2-05</x:v>
      </x:c>
      <x:c r="B25" s="27" t="str">
        <x:v>M2</x:v>
      </x:c>
      <x:c r="C25" s="27" t="str">
        <x:v>目录</x:v>
      </x:c>
      <x:c r="D25" s="27" t="str">
        <x:v>实现目录缓存与刷新</x:v>
      </x:c>
      <x:c r="E25" s="27" t="str">
        <x:v>CatalogCache</x:v>
      </x:c>
      <x:c r="F25" s="27" t="str">
        <x:v>核心开发</x:v>
      </x:c>
      <x:c r="G25" s="27" t="str">
        <x:v>测试工程师</x:v>
      </x:c>
      <x:c r="H25" s="27" t="str">
        <x:v>P1</x:v>
      </x:c>
      <x:c r="I25" s="27" t="str">
        <x:v>M2-04</x:v>
      </x:c>
      <x:c r="J25" s="27" t="n">
        <x:v>21</x:v>
      </x:c>
      <x:c r="K25" s="27" t="n">
        <x:v>3</x:v>
      </x:c>
      <x:c r="L25" s="41" t="n">
        <x:v>0.8</x:v>
      </x:c>
      <x:c r="M25" s="37" t="n">
        <x:f>WORKDAY('执行看板'!$B$4,J25)</x:f>
        <x:v>46252</x:v>
      </x:c>
      <x:c r="N25" s="37" t="n">
        <x:f>WORKDAY(M25,K25-1)</x:f>
        <x:v>46254</x:v>
      </x:c>
      <x:c r="O25" s="41" t="n">
        <x:f>K25*L25</x:f>
        <x:v>2.4000000000000004</x:v>
      </x:c>
      <x:c r="P25" s="27" t="str">
        <x:f>IF(Q25="已完成","绿色",IF(Q25="阻塞","红色",IF(Q25="延期","红色",IF(AND(TODAY()&gt;N25,R25&lt;1),"黄色",IF(Q25="进行中","蓝色","灰色")))))</x:f>
        <x:v>灰色</x:v>
      </x:c>
      <x:c r="Q25" s="27" t="str">
        <x:v>未开始</x:v>
      </x:c>
      <x:c r="R25" s="39" t="n">
        <x:v>0</x:v>
      </x:c>
      <x:c r="S25" s="27" t="str">
        <x:v>损坏缓存可重建且不影响 Group 记录</x:v>
      </x:c>
      <x:c r="T25" s="27" t="str"/>
    </x:row>
    <x:row r="26">
      <x:c r="A26" s="27" t="str">
        <x:v>M2-06</x:v>
      </x:c>
      <x:c r="B26" s="27" t="str">
        <x:v>M2</x:v>
      </x:c>
      <x:c r="C26" s="27" t="str">
        <x:v>搜索</x:v>
      </x:c>
      <x:c r="D26" s="27" t="str">
        <x:v>实现搜索索引与多关键词过滤</x:v>
      </x:c>
      <x:c r="E26" s="27" t="str">
        <x:v>SearchIndex</x:v>
      </x:c>
      <x:c r="F26" s="27" t="str">
        <x:v>核心开发</x:v>
      </x:c>
      <x:c r="G26" s="27" t="str">
        <x:v>UI开发</x:v>
      </x:c>
      <x:c r="H26" s="27" t="str">
        <x:v>P1</x:v>
      </x:c>
      <x:c r="I26" s="27" t="str">
        <x:v>M2-04</x:v>
      </x:c>
      <x:c r="J26" s="27" t="n">
        <x:v>21</x:v>
      </x:c>
      <x:c r="K26" s="27" t="n">
        <x:v>3</x:v>
      </x:c>
      <x:c r="L26" s="41" t="n">
        <x:v>0.8</x:v>
      </x:c>
      <x:c r="M26" s="37" t="n">
        <x:f>WORKDAY('执行看板'!$B$4,J26)</x:f>
        <x:v>46252</x:v>
      </x:c>
      <x:c r="N26" s="37" t="n">
        <x:f>WORKDAY(M26,K26-1)</x:f>
        <x:v>46254</x:v>
      </x:c>
      <x:c r="O26" s="41" t="n">
        <x:f>K26*L26</x:f>
        <x:v>2.4000000000000004</x:v>
      </x:c>
      <x:c r="P26" s="27" t="str">
        <x:f>IF(Q26="已完成","绿色",IF(Q26="阻塞","红色",IF(Q26="延期","红色",IF(AND(TODAY()&gt;N26,R26&lt;1),"黄色",IF(Q26="进行中","蓝色","灰色")))))</x:f>
        <x:v>灰色</x:v>
      </x:c>
      <x:c r="Q26" s="27" t="str">
        <x:v>未开始</x:v>
      </x:c>
      <x:c r="R26" s="39" t="n">
        <x:v>0</x:v>
      </x:c>
      <x:c r="S26" s="27" t="str">
        <x:v>10,000 本目录达到响应目标</x:v>
      </x:c>
      <x:c r="T26" s="27" t="str"/>
    </x:row>
    <x:row r="27">
      <x:c r="A27" s="27" t="str">
        <x:v>M2-07</x:v>
      </x:c>
      <x:c r="B27" s="27" t="str">
        <x:v>M2</x:v>
      </x:c>
      <x:c r="C27" s="27" t="str">
        <x:v>选择</x:v>
      </x:c>
      <x:c r="D27" s="27" t="str">
        <x:v>实现 selected_books / selected_files</x:v>
      </x:c>
      <x:c r="E27" s="27" t="str">
        <x:v>SelectionService</x:v>
      </x:c>
      <x:c r="F27" s="27" t="str">
        <x:v>核心开发</x:v>
      </x:c>
      <x:c r="G27" s="27" t="str">
        <x:v>测试工程师</x:v>
      </x:c>
      <x:c r="H27" s="27" t="str">
        <x:v>P0</x:v>
      </x:c>
      <x:c r="I27" s="27" t="str">
        <x:v>M2-04</x:v>
      </x:c>
      <x:c r="J27" s="27" t="n">
        <x:v>21</x:v>
      </x:c>
      <x:c r="K27" s="27" t="n">
        <x:v>3</x:v>
      </x:c>
      <x:c r="L27" s="41" t="n">
        <x:v>1</x:v>
      </x:c>
      <x:c r="M27" s="37" t="n">
        <x:f>WORKDAY('执行看板'!$B$4,J27)</x:f>
        <x:v>46252</x:v>
      </x:c>
      <x:c r="N27" s="37" t="n">
        <x:f>WORKDAY(M27,K27-1)</x:f>
        <x:v>46254</x:v>
      </x:c>
      <x:c r="O27" s="41" t="n">
        <x:f>K27*L27</x:f>
        <x:v>3</x:v>
      </x:c>
      <x:c r="P27" s="27" t="str">
        <x:f>IF(Q27="已完成","绿色",IF(Q27="阻塞","红色",IF(Q27="延期","红色",IF(AND(TODAY()&gt;N27,R27&lt;1),"黄色",IF(Q27="进行中","蓝色","灰色")))))</x:f>
        <x:v>灰色</x:v>
      </x:c>
      <x:c r="Q27" s="27" t="str">
        <x:v>未开始</x:v>
      </x:c>
      <x:c r="R27" s="39" t="n">
        <x:v>0</x:v>
      </x:c>
      <x:c r="S27" s="27" t="str">
        <x:v>文件级选择展开和稳定指纹正确</x:v>
      </x:c>
      <x:c r="T27" s="27" t="str"/>
    </x:row>
    <x:row r="28">
      <x:c r="A28" s="27" t="str">
        <x:v>M2-08</x:v>
      </x:c>
      <x:c r="B28" s="27" t="str">
        <x:v>M2</x:v>
      </x:c>
      <x:c r="C28" s="27" t="str">
        <x:v>迁移</x:v>
      </x:c>
      <x:c r="D28" s="27" t="str">
        <x:v>实现 v1.0 选择迁移</x:v>
      </x:c>
      <x:c r="E28" s="27" t="str">
        <x:v>StateMigrator</x:v>
      </x:c>
      <x:c r="F28" s="27" t="str">
        <x:v>核心开发</x:v>
      </x:c>
      <x:c r="G28" s="27" t="str">
        <x:v>测试工程师</x:v>
      </x:c>
      <x:c r="H28" s="27" t="str">
        <x:v>P0</x:v>
      </x:c>
      <x:c r="I28" s="27" t="str">
        <x:v>M1-04,M2-07</x:v>
      </x:c>
      <x:c r="J28" s="27" t="n">
        <x:v>23</x:v>
      </x:c>
      <x:c r="K28" s="27" t="n">
        <x:v>3</x:v>
      </x:c>
      <x:c r="L28" s="41" t="n">
        <x:v>1</x:v>
      </x:c>
      <x:c r="M28" s="37" t="n">
        <x:f>WORKDAY('执行看板'!$B$4,J28)</x:f>
        <x:v>46254</x:v>
      </x:c>
      <x:c r="N28" s="37" t="n">
        <x:f>WORKDAY(M28,K28-1)</x:f>
        <x:v>46258</x:v>
      </x:c>
      <x:c r="O28" s="41" t="n">
        <x:f>K28*L28</x:f>
        <x:v>3</x:v>
      </x:c>
      <x:c r="P28" s="27" t="str">
        <x:f>IF(Q28="已完成","绿色",IF(Q28="阻塞","红色",IF(Q28="延期","红色",IF(AND(TODAY()&gt;N28,R28&lt;1),"黄色",IF(Q28="进行中","蓝色","灰色")))))</x:f>
        <x:v>灰色</x:v>
      </x:c>
      <x:c r="Q28" s="27" t="str">
        <x:v>未开始</x:v>
      </x:c>
      <x:c r="R28" s="39" t="n">
        <x:v>0</x:v>
      </x:c>
      <x:c r="S28" s="27" t="str">
        <x:v>旧目录级选择失效，groups 可信记录保留</x:v>
      </x:c>
      <x:c r="T28" s="27" t="str"/>
    </x:row>
    <x:row r="29">
      <x:c r="A29" s="27" t="str">
        <x:v>M2-09</x:v>
      </x:c>
      <x:c r="B29" s="27" t="str">
        <x:v>M2</x:v>
      </x:c>
      <x:c r="C29" s="27" t="str">
        <x:v>UI</x:v>
      </x:c>
      <x:c r="D29" s="27" t="str">
        <x:v>建立 Textual App 与主题</x:v>
      </x:c>
      <x:c r="E29" s="27" t="str">
        <x:v>应用主框架</x:v>
      </x:c>
      <x:c r="F29" s="27" t="str">
        <x:v>UI开发</x:v>
      </x:c>
      <x:c r="G29" s="27" t="str">
        <x:v>技术负责人</x:v>
      </x:c>
      <x:c r="H29" s="27" t="str">
        <x:v>P0</x:v>
      </x:c>
      <x:c r="I29" s="27" t="str">
        <x:v>M1-11</x:v>
      </x:c>
      <x:c r="J29" s="27" t="n">
        <x:v>14</x:v>
      </x:c>
      <x:c r="K29" s="27" t="n">
        <x:v>3</x:v>
      </x:c>
      <x:c r="L29" s="41" t="n">
        <x:v>1</x:v>
      </x:c>
      <x:c r="M29" s="37" t="n">
        <x:f>WORKDAY('执行看板'!$B$4,J29)</x:f>
        <x:v>46241</x:v>
      </x:c>
      <x:c r="N29" s="37" t="n">
        <x:f>WORKDAY(M29,K29-1)</x:f>
        <x:v>46245</x:v>
      </x:c>
      <x:c r="O29" s="41" t="n">
        <x:f>K29*L29</x:f>
        <x:v>3</x:v>
      </x:c>
      <x:c r="P29" s="27" t="str">
        <x:f>IF(Q29="已完成","绿色",IF(Q29="阻塞","红色",IF(Q29="延期","红色",IF(AND(TODAY()&gt;N29,R29&lt;1),"黄色",IF(Q29="进行中","蓝色","灰色")))))</x:f>
        <x:v>灰色</x:v>
      </x:c>
      <x:c r="Q29" s="27" t="str">
        <x:v>未开始</x:v>
      </x:c>
      <x:c r="R29" s="39" t="n">
        <x:v>0</x:v>
      </x:c>
      <x:c r="S29" s="27" t="str">
        <x:v>应用启动、全局快捷键和主题可用</x:v>
      </x:c>
      <x:c r="T29" s="27" t="str"/>
    </x:row>
    <x:row r="30">
      <x:c r="A30" s="27" t="str">
        <x:v>M2-10</x:v>
      </x:c>
      <x:c r="B30" s="27" t="str">
        <x:v>M2</x:v>
      </x:c>
      <x:c r="C30" s="27" t="str">
        <x:v>UI</x:v>
      </x:c>
      <x:c r="D30" s="27" t="str">
        <x:v>实现三栏主浏览界面</x:v>
      </x:c>
      <x:c r="E30" s="27" t="str">
        <x:v>BrowseScreen</x:v>
      </x:c>
      <x:c r="F30" s="27" t="str">
        <x:v>UI开发</x:v>
      </x:c>
      <x:c r="G30" s="27" t="str">
        <x:v>核心开发</x:v>
      </x:c>
      <x:c r="H30" s="27" t="str">
        <x:v>P0</x:v>
      </x:c>
      <x:c r="I30" s="27" t="str">
        <x:v>M2-09,M2-04</x:v>
      </x:c>
      <x:c r="J30" s="27" t="n">
        <x:v>18</x:v>
      </x:c>
      <x:c r="K30" s="27" t="n">
        <x:v>5</x:v>
      </x:c>
      <x:c r="L30" s="41" t="n">
        <x:v>1</x:v>
      </x:c>
      <x:c r="M30" s="37" t="n">
        <x:f>WORKDAY('执行看板'!$B$4,J30)</x:f>
        <x:v>46247</x:v>
      </x:c>
      <x:c r="N30" s="37" t="n">
        <x:f>WORKDAY(M30,K30-1)</x:f>
        <x:v>46253</x:v>
      </x:c>
      <x:c r="O30" s="41" t="n">
        <x:f>K30*L30</x:f>
        <x:v>5</x:v>
      </x:c>
      <x:c r="P30" s="27" t="str">
        <x:f>IF(Q30="已完成","绿色",IF(Q30="阻塞","红色",IF(Q30="延期","红色",IF(AND(TODAY()&gt;N30,R30&lt;1),"黄色",IF(Q30="进行中","蓝色","灰色")))))</x:f>
        <x:v>灰色</x:v>
      </x:c>
      <x:c r="Q30" s="27" t="str">
        <x:v>未开始</x:v>
      </x:c>
      <x:c r="R30" s="39" t="n">
        <x:v>0</x:v>
      </x:c>
      <x:c r="S30" s="27" t="str">
        <x:v>导航、列表、详情和状态栏完整</x:v>
      </x:c>
      <x:c r="T30" s="27" t="str"/>
    </x:row>
    <x:row r="31">
      <x:c r="A31" s="27" t="str">
        <x:v>M2-11</x:v>
      </x:c>
      <x:c r="B31" s="27" t="str">
        <x:v>M2</x:v>
      </x:c>
      <x:c r="C31" s="27" t="str">
        <x:v>UI</x:v>
      </x:c>
      <x:c r="D31" s="27" t="str">
        <x:v>实现 TreeView 层级导航</x:v>
      </x:c>
      <x:c r="E31" s="27" t="str">
        <x:v>CatalogTreeWidget</x:v>
      </x:c>
      <x:c r="F31" s="27" t="str">
        <x:v>UI开发</x:v>
      </x:c>
      <x:c r="G31" s="27" t="str">
        <x:v>测试工程师</x:v>
      </x:c>
      <x:c r="H31" s="27" t="str">
        <x:v>P0</x:v>
      </x:c>
      <x:c r="I31" s="27" t="str">
        <x:v>M2-10</x:v>
      </x:c>
      <x:c r="J31" s="27" t="n">
        <x:v>21</x:v>
      </x:c>
      <x:c r="K31" s="27" t="n">
        <x:v>4</x:v>
      </x:c>
      <x:c r="L31" s="41" t="n">
        <x:v>1</x:v>
      </x:c>
      <x:c r="M31" s="37" t="n">
        <x:f>WORKDAY('执行看板'!$B$4,J31)</x:f>
        <x:v>46252</x:v>
      </x:c>
      <x:c r="N31" s="37" t="n">
        <x:f>WORKDAY(M31,K31-1)</x:f>
        <x:v>46255</x:v>
      </x:c>
      <x:c r="O31" s="41" t="n">
        <x:f>K31*L31</x:f>
        <x:v>4</x:v>
      </x:c>
      <x:c r="P31" s="27" t="str">
        <x:f>IF(Q31="已完成","绿色",IF(Q31="阻塞","红色",IF(Q31="延期","红色",IF(AND(TODAY()&gt;N31,R31&lt;1),"黄色",IF(Q31="进行中","蓝色","灰色")))))</x:f>
        <x:v>灰色</x:v>
      </x:c>
      <x:c r="Q31" s="27" t="str">
        <x:v>未开始</x:v>
      </x:c>
      <x:c r="R31" s="39" t="n">
        <x:v>0</x:v>
      </x:c>
      <x:c r="S31" s="27" t="str">
        <x:v>键盘导航与展开收起符合规范</x:v>
      </x:c>
      <x:c r="T31" s="27" t="str"/>
    </x:row>
    <x:row r="32">
      <x:c r="A32" s="27" t="str">
        <x:v>M2-12</x:v>
      </x:c>
      <x:c r="B32" s="27" t="str">
        <x:v>M2</x:v>
      </x:c>
      <x:c r="C32" s="27" t="str">
        <x:v>UI</x:v>
      </x:c>
      <x:c r="D32" s="27" t="str">
        <x:v>实现教材列表与详情</x:v>
      </x:c>
      <x:c r="E32" s="27" t="str">
        <x:v>BookList/DetailPanel</x:v>
      </x:c>
      <x:c r="F32" s="27" t="str">
        <x:v>UI开发</x:v>
      </x:c>
      <x:c r="G32" s="27" t="str">
        <x:v>核心开发</x:v>
      </x:c>
      <x:c r="H32" s="27" t="str">
        <x:v>P0</x:v>
      </x:c>
      <x:c r="I32" s="27" t="str">
        <x:v>M2-10,M2-07</x:v>
      </x:c>
      <x:c r="J32" s="27" t="n">
        <x:v>22</x:v>
      </x:c>
      <x:c r="K32" s="27" t="n">
        <x:v>4</x:v>
      </x:c>
      <x:c r="L32" s="41" t="n">
        <x:v>1</x:v>
      </x:c>
      <x:c r="M32" s="37" t="n">
        <x:f>WORKDAY('执行看板'!$B$4,J32)</x:f>
        <x:v>46253</x:v>
      </x:c>
      <x:c r="N32" s="37" t="n">
        <x:f>WORKDAY(M32,K32-1)</x:f>
        <x:v>46258</x:v>
      </x:c>
      <x:c r="O32" s="41" t="n">
        <x:f>K32*L32</x:f>
        <x:v>4</x:v>
      </x:c>
      <x:c r="P32" s="27" t="str">
        <x:f>IF(Q32="已完成","绿色",IF(Q32="阻塞","红色",IF(Q32="延期","红色",IF(AND(TODAY()&gt;N32,R32&lt;1),"黄色",IF(Q32="进行中","蓝色","灰色")))))</x:f>
        <x:v>灰色</x:v>
      </x:c>
      <x:c r="Q32" s="27" t="str">
        <x:v>未开始</x:v>
      </x:c>
      <x:c r="R32" s="39" t="n">
        <x:v>0</x:v>
      </x:c>
      <x:c r="S32" s="27" t="str">
        <x:v>选择同步、文件详情和状态展示正确</x:v>
      </x:c>
      <x:c r="T32" s="27" t="str"/>
    </x:row>
    <x:row r="33">
      <x:c r="A33" s="27" t="str">
        <x:v>M2-13</x:v>
      </x:c>
      <x:c r="B33" s="27" t="str">
        <x:v>M2</x:v>
      </x:c>
      <x:c r="C33" s="27" t="str">
        <x:v>UI</x:v>
      </x:c>
      <x:c r="D33" s="27" t="str">
        <x:v>实现搜索与已选教材窗口</x:v>
      </x:c>
      <x:c r="E33" s="27" t="str">
        <x:v>Search/SelectedScreen</x:v>
      </x:c>
      <x:c r="F33" s="27" t="str">
        <x:v>UI开发</x:v>
      </x:c>
      <x:c r="G33" s="27" t="str">
        <x:v>测试工程师</x:v>
      </x:c>
      <x:c r="H33" s="27" t="str">
        <x:v>P1</x:v>
      </x:c>
      <x:c r="I33" s="27" t="str">
        <x:v>M2-06,M2-12</x:v>
      </x:c>
      <x:c r="J33" s="27" t="n">
        <x:v>25</x:v>
      </x:c>
      <x:c r="K33" s="27" t="n">
        <x:v>4</x:v>
      </x:c>
      <x:c r="L33" s="41" t="n">
        <x:v>1</x:v>
      </x:c>
      <x:c r="M33" s="37" t="n">
        <x:f>WORKDAY('执行看板'!$B$4,J33)</x:f>
        <x:v>46258</x:v>
      </x:c>
      <x:c r="N33" s="37" t="n">
        <x:f>WORKDAY(M33,K33-1)</x:f>
        <x:v>46261</x:v>
      </x:c>
      <x:c r="O33" s="41" t="n">
        <x:f>K33*L33</x:f>
        <x:v>4</x:v>
      </x:c>
      <x:c r="P33" s="27" t="str">
        <x:f>IF(Q33="已完成","绿色",IF(Q33="阻塞","红色",IF(Q33="延期","红色",IF(AND(TODAY()&gt;N33,R33&lt;1),"黄色",IF(Q33="进行中","蓝色","灰色")))))</x:f>
        <x:v>灰色</x:v>
      </x:c>
      <x:c r="Q33" s="27" t="str">
        <x:v>未开始</x:v>
      </x:c>
      <x:c r="R33" s="39" t="n">
        <x:v>0</x:v>
      </x:c>
      <x:c r="S33" s="27" t="str">
        <x:v>/ 与 F2 流程完整</x:v>
      </x:c>
      <x:c r="T33" s="27" t="str"/>
    </x:row>
    <x:row r="34">
      <x:c r="A34" s="27" t="str">
        <x:v>M2-14</x:v>
      </x:c>
      <x:c r="B34" s="27" t="str">
        <x:v>M2</x:v>
      </x:c>
      <x:c r="C34" s="27" t="str">
        <x:v>测试</x:v>
      </x:c>
      <x:c r="D34" s="27" t="str">
        <x:v>M2 UI 与目录集成测试</x:v>
      </x:c>
      <x:c r="E34" s="27" t="str">
        <x:v>M2 测试报告</x:v>
      </x:c>
      <x:c r="F34" s="27" t="str">
        <x:v>测试工程师</x:v>
      </x:c>
      <x:c r="G34" s="27" t="str">
        <x:v>UI开发,核心开发</x:v>
      </x:c>
      <x:c r="H34" s="27" t="str">
        <x:v>P0</x:v>
      </x:c>
      <x:c r="I34" s="27" t="str">
        <x:v>M2-05,M2-08,M2-11,M2-13</x:v>
      </x:c>
      <x:c r="J34" s="27" t="n">
        <x:v>29</x:v>
      </x:c>
      <x:c r="K34" s="27" t="n">
        <x:v>3</x:v>
      </x:c>
      <x:c r="L34" s="41" t="n">
        <x:v>1</x:v>
      </x:c>
      <x:c r="M34" s="37" t="n">
        <x:f>WORKDAY('执行看板'!$B$4,J34)</x:f>
        <x:v>46262</x:v>
      </x:c>
      <x:c r="N34" s="37" t="n">
        <x:f>WORKDAY(M34,K34-1)</x:f>
        <x:v>46266</x:v>
      </x:c>
      <x:c r="O34" s="41" t="n">
        <x:f>K34*L34</x:f>
        <x:v>3</x:v>
      </x:c>
      <x:c r="P34" s="27" t="str">
        <x:f>IF(Q34="已完成","绿色",IF(Q34="阻塞","红色",IF(Q34="延期","红色",IF(AND(TODAY()&gt;N34,R34&lt;1),"黄色",IF(Q34="进行中","蓝色","灰色")))))</x:f>
        <x:v>灰色</x:v>
      </x:c>
      <x:c r="Q34" s="27" t="str">
        <x:v>未开始</x:v>
      </x:c>
      <x:c r="R34" s="39" t="n">
        <x:v>0</x:v>
      </x:c>
      <x:c r="S34" s="27" t="str">
        <x:v>目录、选择、迁移、窄终端 P0 用例通过</x:v>
      </x:c>
      <x:c r="T34" s="27" t="str"/>
    </x:row>
    <x:row r="35">
      <x:c r="A35" s="27" t="str">
        <x:v>M2-15</x:v>
      </x:c>
      <x:c r="B35" s="27" t="str">
        <x:v>M2</x:v>
      </x:c>
      <x:c r="C35" s="27" t="str">
        <x:v>项目管理</x:v>
      </x:c>
      <x:c r="D35" s="27" t="str">
        <x:v>M2 演示与退出</x:v>
      </x:c>
      <x:c r="E35" s="27" t="str">
        <x:v>M2 演示记录</x:v>
      </x:c>
      <x:c r="F35" s="27" t="str">
        <x:v>项目经理</x:v>
      </x:c>
      <x:c r="G35" s="27" t="str">
        <x:v>全体</x:v>
      </x:c>
      <x:c r="H35" s="27" t="str">
        <x:v>P0</x:v>
      </x:c>
      <x:c r="I35" s="27" t="str">
        <x:v>M2-14</x:v>
      </x:c>
      <x:c r="J35" s="27" t="n">
        <x:v>32</x:v>
      </x:c>
      <x:c r="K35" s="27" t="n">
        <x:v>1</x:v>
      </x:c>
      <x:c r="L35" s="41" t="n">
        <x:v>0.5</x:v>
      </x:c>
      <x:c r="M35" s="37" t="n">
        <x:f>WORKDAY('执行看板'!$B$4,J35)</x:f>
        <x:v>46267</x:v>
      </x:c>
      <x:c r="N35" s="37" t="n">
        <x:f>WORKDAY(M35,K35-1)</x:f>
        <x:v>46267</x:v>
      </x:c>
      <x:c r="O35" s="41" t="n">
        <x:f>K35*L35</x:f>
        <x:v>0.5</x:v>
      </x:c>
      <x:c r="P35" s="27" t="str">
        <x:f>IF(Q35="已完成","绿色",IF(Q35="阻塞","红色",IF(Q35="延期","红色",IF(AND(TODAY()&gt;N35,R35&lt;1),"黄色",IF(Q35="进行中","蓝色","灰色")))))</x:f>
        <x:v>灰色</x:v>
      </x:c>
      <x:c r="Q35" s="27" t="str">
        <x:v>未开始</x:v>
      </x:c>
      <x:c r="R35" s="39" t="n">
        <x:v>0</x:v>
      </x:c>
      <x:c r="S35" s="27" t="str">
        <x:v>可浏览、搜索并选择具体教材</x:v>
      </x:c>
      <x:c r="T35" s="27" t="str"/>
    </x:row>
    <x:row r="36">
      <x:c r="A36" s="27" t="str">
        <x:v>M3-01</x:v>
      </x:c>
      <x:c r="B36" s="27" t="str">
        <x:v>M3</x:v>
      </x:c>
      <x:c r="C36" s="27" t="str">
        <x:v>Git</x:v>
      </x:c>
      <x:c r="D36" s="27" t="str">
        <x:v>实现工作区初始化与 partial clone</x:v>
      </x:c>
      <x:c r="E36" s="27" t="str">
        <x:v>WorkspaceManager</x:v>
      </x:c>
      <x:c r="F36" s="27" t="str">
        <x:v>核心开发</x:v>
      </x:c>
      <x:c r="G36" s="27" t="str">
        <x:v>技术负责人</x:v>
      </x:c>
      <x:c r="H36" s="27" t="str">
        <x:v>P0</x:v>
      </x:c>
      <x:c r="I36" s="27" t="str">
        <x:v>M2-15</x:v>
      </x:c>
      <x:c r="J36" s="27" t="n">
        <x:v>33</x:v>
      </x:c>
      <x:c r="K36" s="27" t="n">
        <x:v>3</x:v>
      </x:c>
      <x:c r="L36" s="41" t="n">
        <x:v>1</x:v>
      </x:c>
      <x:c r="M36" s="37" t="n">
        <x:f>WORKDAY('执行看板'!$B$4,J36)</x:f>
        <x:v>46268</x:v>
      </x:c>
      <x:c r="N36" s="37" t="n">
        <x:f>WORKDAY(M36,K36-1)</x:f>
        <x:v>46272</x:v>
      </x:c>
      <x:c r="O36" s="41" t="n">
        <x:f>K36*L36</x:f>
        <x:v>3</x:v>
      </x:c>
      <x:c r="P36" s="27" t="str">
        <x:f>IF(Q36="已完成","绿色",IF(Q36="阻塞","红色",IF(Q36="延期","红色",IF(AND(TODAY()&gt;N36,R36&lt;1),"黄色",IF(Q36="进行中","蓝色","灰色")))))</x:f>
        <x:v>灰色</x:v>
      </x:c>
      <x:c r="Q36" s="27" t="str">
        <x:v>未开始</x:v>
      </x:c>
      <x:c r="R36" s="39" t="n">
        <x:v>0</x:v>
      </x:c>
      <x:c r="S36" s="27" t="str">
        <x:v>首次与已有工作区均可安全处理</x:v>
      </x:c>
      <x:c r="T36" s="27" t="str"/>
    </x:row>
    <x:row r="37">
      <x:c r="A37" s="27" t="str">
        <x:v>M3-02</x:v>
      </x:c>
      <x:c r="B37" s="27" t="str">
        <x:v>M3</x:v>
      </x:c>
      <x:c r="C37" s="27" t="str">
        <x:v>Git</x:v>
      </x:c>
      <x:c r="D37" s="27" t="str">
        <x:v>实现精确 sparse-checkout 计划</x:v>
      </x:c>
      <x:c r="E37" s="27" t="str">
        <x:v>SparsePlanBuilder</x:v>
      </x:c>
      <x:c r="F37" s="27" t="str">
        <x:v>核心开发</x:v>
      </x:c>
      <x:c r="G37" s="27" t="str">
        <x:v>测试工程师</x:v>
      </x:c>
      <x:c r="H37" s="27" t="str">
        <x:v>P0</x:v>
      </x:c>
      <x:c r="I37" s="27" t="str">
        <x:v>M3-01,M2-07</x:v>
      </x:c>
      <x:c r="J37" s="27" t="n">
        <x:v>35</x:v>
      </x:c>
      <x:c r="K37" s="27" t="n">
        <x:v>3</x:v>
      </x:c>
      <x:c r="L37" s="41" t="n">
        <x:v>1</x:v>
      </x:c>
      <x:c r="M37" s="37" t="n">
        <x:f>WORKDAY('执行看板'!$B$4,J37)</x:f>
        <x:v>46272</x:v>
      </x:c>
      <x:c r="N37" s="37" t="n">
        <x:f>WORKDAY(M37,K37-1)</x:f>
        <x:v>46274</x:v>
      </x:c>
      <x:c r="O37" s="41" t="n">
        <x:f>K37*L37</x:f>
        <x:v>3</x:v>
      </x:c>
      <x:c r="P37" s="27" t="str">
        <x:f>IF(Q37="已完成","绿色",IF(Q37="阻塞","红色",IF(Q37="延期","红色",IF(AND(TODAY()&gt;N37,R37&lt;1),"黄色",IF(Q37="进行中","蓝色","灰色")))))</x:f>
        <x:v>灰色</x:v>
      </x:c>
      <x:c r="Q37" s="27" t="str">
        <x:v>未开始</x:v>
      </x:c>
      <x:c r="R37" s="39" t="n">
        <x:v>0</x:v>
      </x:c>
      <x:c r="S37" s="27" t="str">
        <x:v>只包含 selected_files 精确路径</x:v>
      </x:c>
      <x:c r="T37" s="27" t="str"/>
    </x:row>
    <x:row r="38">
      <x:c r="A38" s="27" t="str">
        <x:v>M3-03</x:v>
      </x:c>
      <x:c r="B38" s="27" t="str">
        <x:v>M3</x:v>
      </x:c>
      <x:c r="C38" s="27" t="str">
        <x:v>下载</x:v>
      </x:c>
      <x:c r="D38" s="27" t="str">
        <x:v>实现 DownloadPlan 与磁盘预检</x:v>
      </x:c>
      <x:c r="E38" s="27" t="str">
        <x:v>DownloadPlanner</x:v>
      </x:c>
      <x:c r="F38" s="27" t="str">
        <x:v>核心开发</x:v>
      </x:c>
      <x:c r="G38" s="27" t="str">
        <x:v>测试工程师</x:v>
      </x:c>
      <x:c r="H38" s="27" t="str">
        <x:v>P0</x:v>
      </x:c>
      <x:c r="I38" s="27" t="str">
        <x:v>M3-02</x:v>
      </x:c>
      <x:c r="J38" s="27" t="n">
        <x:v>37</x:v>
      </x:c>
      <x:c r="K38" s="27" t="n">
        <x:v>3</x:v>
      </x:c>
      <x:c r="L38" s="41" t="n">
        <x:v>1</x:v>
      </x:c>
      <x:c r="M38" s="37" t="n">
        <x:f>WORKDAY('执行看板'!$B$4,J38)</x:f>
        <x:v>46274</x:v>
      </x:c>
      <x:c r="N38" s="37" t="n">
        <x:f>WORKDAY(M38,K38-1)</x:f>
        <x:v>46276</x:v>
      </x:c>
      <x:c r="O38" s="41" t="n">
        <x:f>K38*L38</x:f>
        <x:v>3</x:v>
      </x:c>
      <x:c r="P38" s="27" t="str">
        <x:f>IF(Q38="已完成","绿色",IF(Q38="阻塞","红色",IF(Q38="延期","红色",IF(AND(TODAY()&gt;N38,R38&lt;1),"黄色",IF(Q38="进行中","蓝色","灰色")))))</x:f>
        <x:v>灰色</x:v>
      </x:c>
      <x:c r="Q38" s="27" t="str">
        <x:v>未开始</x:v>
      </x:c>
      <x:c r="R38" s="39" t="n">
        <x:v>0</x:v>
      </x:c>
      <x:c r="S38" s="27" t="str">
        <x:v>空间、输出冲突和路径安全预检完整</x:v>
      </x:c>
      <x:c r="T38" s="27" t="str"/>
    </x:row>
    <x:row r="39">
      <x:c r="A39" s="27" t="str">
        <x:v>M3-04</x:v>
      </x:c>
      <x:c r="B39" s="27" t="str">
        <x:v>M3</x:v>
      </x:c>
      <x:c r="C39" s="27" t="str">
        <x:v>下载</x:v>
      </x:c>
      <x:c r="D39" s="27" t="str">
        <x:v>实现 Git fetch/checkout 子进程管理</x:v>
      </x:c>
      <x:c r="E39" s="27" t="str">
        <x:v>GitProcessRunner</x:v>
      </x:c>
      <x:c r="F39" s="27" t="str">
        <x:v>核心开发</x:v>
      </x:c>
      <x:c r="G39" s="27" t="str">
        <x:v>发布工程师</x:v>
      </x:c>
      <x:c r="H39" s="27" t="str">
        <x:v>P0</x:v>
      </x:c>
      <x:c r="I39" s="27" t="str">
        <x:v>M3-01</x:v>
      </x:c>
      <x:c r="J39" s="27" t="n">
        <x:v>36</x:v>
      </x:c>
      <x:c r="K39" s="27" t="n">
        <x:v>5</x:v>
      </x:c>
      <x:c r="L39" s="41" t="n">
        <x:v>1</x:v>
      </x:c>
      <x:c r="M39" s="37" t="n">
        <x:f>WORKDAY('执行看板'!$B$4,J39)</x:f>
        <x:v>46273</x:v>
      </x:c>
      <x:c r="N39" s="37" t="n">
        <x:f>WORKDAY(M39,K39-1)</x:f>
        <x:v>46279</x:v>
      </x:c>
      <x:c r="O39" s="41" t="n">
        <x:f>K39*L39</x:f>
        <x:v>5</x:v>
      </x:c>
      <x:c r="P39" s="27" t="str">
        <x:f>IF(Q39="已完成","绿色",IF(Q39="阻塞","红色",IF(Q39="延期","红色",IF(AND(TODAY()&gt;N39,R39&lt;1),"黄色",IF(Q39="进行中","蓝色","灰色")))))</x:f>
        <x:v>灰色</x:v>
      </x:c>
      <x:c r="Q39" s="27" t="str">
        <x:v>未开始</x:v>
      </x:c>
      <x:c r="R39" s="39" t="n">
        <x:v>0</x:v>
      </x:c>
      <x:c r="S39" s="27" t="str">
        <x:v>超时、温和终止、诊断与锁检查可用</x:v>
      </x:c>
      <x:c r="T39" s="27" t="str"/>
    </x:row>
    <x:row r="40">
      <x:c r="A40" s="27" t="str">
        <x:v>M3-05</x:v>
      </x:c>
      <x:c r="B40" s="27" t="str">
        <x:v>M3</x:v>
      </x:c>
      <x:c r="C40" s="27" t="str">
        <x:v>下载</x:v>
      </x:c>
      <x:c r="D40" s="27" t="str">
        <x:v>实现下载 Worker 与阶段事件</x:v>
      </x:c>
      <x:c r="E40" s="27" t="str">
        <x:v>DownloadWorker</x:v>
      </x:c>
      <x:c r="F40" s="27" t="str">
        <x:v>核心开发</x:v>
      </x:c>
      <x:c r="G40" s="27" t="str">
        <x:v>UI开发</x:v>
      </x:c>
      <x:c r="H40" s="27" t="str">
        <x:v>P0</x:v>
      </x:c>
      <x:c r="I40" s="27" t="str">
        <x:v>M3-03,M3-04,M1-09</x:v>
      </x:c>
      <x:c r="J40" s="27" t="n">
        <x:v>40</x:v>
      </x:c>
      <x:c r="K40" s="27" t="n">
        <x:v>5</x:v>
      </x:c>
      <x:c r="L40" s="41" t="n">
        <x:v>1</x:v>
      </x:c>
      <x:c r="M40" s="37" t="n">
        <x:f>WORKDAY('执行看板'!$B$4,J40)</x:f>
        <x:v>46279</x:v>
      </x:c>
      <x:c r="N40" s="37" t="n">
        <x:f>WORKDAY(M40,K40-1)</x:f>
        <x:v>46283</x:v>
      </x:c>
      <x:c r="O40" s="41" t="n">
        <x:f>K40*L40</x:f>
        <x:v>5</x:v>
      </x:c>
      <x:c r="P40" s="27" t="str">
        <x:f>IF(Q40="已完成","绿色",IF(Q40="阻塞","红色",IF(Q40="延期","红色",IF(AND(TODAY()&gt;N40,R40&lt;1),"黄色",IF(Q40="进行中","蓝色","灰色")))))</x:f>
        <x:v>灰色</x:v>
      </x:c>
      <x:c r="Q40" s="27" t="str">
        <x:v>未开始</x:v>
      </x:c>
      <x:c r="R40" s="39" t="n">
        <x:v>0</x:v>
      </x:c>
      <x:c r="S40" s="27" t="str">
        <x:v>阶段、进度、取消和错误事件正确</x:v>
      </x:c>
      <x:c r="T40" s="27" t="str"/>
    </x:row>
    <x:row r="41">
      <x:c r="A41" s="27" t="str">
        <x:v>M3-06</x:v>
      </x:c>
      <x:c r="B41" s="27" t="str">
        <x:v>M3</x:v>
      </x:c>
      <x:c r="C41" s="27" t="str">
        <x:v>PDF</x:v>
      </x:c>
      <x:c r="D41" s="27" t="str">
        <x:v>实现普通 PDF 发布流程</x:v>
      </x:c>
      <x:c r="E41" s="27" t="str">
        <x:v>FullPdfPipeline</x:v>
      </x:c>
      <x:c r="F41" s="27" t="str">
        <x:v>核心开发</x:v>
      </x:c>
      <x:c r="G41" s="27" t="str">
        <x:v>测试工程师</x:v>
      </x:c>
      <x:c r="H41" s="27" t="str">
        <x:v>P0</x:v>
      </x:c>
      <x:c r="I41" s="27" t="str">
        <x:v>M3-05</x:v>
      </x:c>
      <x:c r="J41" s="27" t="n">
        <x:v>43</x:v>
      </x:c>
      <x:c r="K41" s="27" t="n">
        <x:v>3</x:v>
      </x:c>
      <x:c r="L41" s="41" t="n">
        <x:v>1</x:v>
      </x:c>
      <x:c r="M41" s="37" t="n">
        <x:f>WORKDAY('执行看板'!$B$4,J41)</x:f>
        <x:v>46282</x:v>
      </x:c>
      <x:c r="N41" s="37" t="n">
        <x:f>WORKDAY(M41,K41-1)</x:f>
        <x:v>46286</x:v>
      </x:c>
      <x:c r="O41" s="41" t="n">
        <x:f>K41*L41</x:f>
        <x:v>3</x:v>
      </x:c>
      <x:c r="P41" s="27" t="str">
        <x:f>IF(Q41="已完成","绿色",IF(Q41="阻塞","红色",IF(Q41="延期","红色",IF(AND(TODAY()&gt;N41,R41&lt;1),"黄色",IF(Q41="进行中","蓝色","灰色")))))</x:f>
        <x:v>灰色</x:v>
      </x:c>
      <x:c r="Q41" s="27" t="str">
        <x:v>未开始</x:v>
      </x:c>
      <x:c r="R41" s="39" t="n">
        <x:v>0</x:v>
      </x:c>
      <x:c r="S41" s="27" t="str">
        <x:v>校验后原子发布</x:v>
      </x:c>
      <x:c r="T41" s="27" t="str"/>
    </x:row>
    <x:row r="42">
      <x:c r="A42" s="27" t="str">
        <x:v>M3-07</x:v>
      </x:c>
      <x:c r="B42" s="27" t="str">
        <x:v>M3</x:v>
      </x:c>
      <x:c r="C42" s="27" t="str">
        <x:v>PDF</x:v>
      </x:c>
      <x:c r="D42" s="27" t="str">
        <x:v>实现分卷顺序与完整性检查</x:v>
      </x:c>
      <x:c r="E42" s="27" t="str">
        <x:v>PartsValidator</x:v>
      </x:c>
      <x:c r="F42" s="27" t="str">
        <x:v>核心开发</x:v>
      </x:c>
      <x:c r="G42" s="27" t="str">
        <x:v>测试工程师</x:v>
      </x:c>
      <x:c r="H42" s="27" t="str">
        <x:v>P0</x:v>
      </x:c>
      <x:c r="I42" s="27" t="str">
        <x:v>M3-05,M2-04</x:v>
      </x:c>
      <x:c r="J42" s="27" t="n">
        <x:v>43</x:v>
      </x:c>
      <x:c r="K42" s="27" t="n">
        <x:v>3</x:v>
      </x:c>
      <x:c r="L42" s="41" t="n">
        <x:v>1</x:v>
      </x:c>
      <x:c r="M42" s="37" t="n">
        <x:f>WORKDAY('执行看板'!$B$4,J42)</x:f>
        <x:v>46282</x:v>
      </x:c>
      <x:c r="N42" s="37" t="n">
        <x:f>WORKDAY(M42,K42-1)</x:f>
        <x:v>46286</x:v>
      </x:c>
      <x:c r="O42" s="41" t="n">
        <x:f>K42*L42</x:f>
        <x:v>3</x:v>
      </x:c>
      <x:c r="P42" s="27" t="str">
        <x:f>IF(Q42="已完成","绿色",IF(Q42="阻塞","红色",IF(Q42="延期","红色",IF(AND(TODAY()&gt;N42,R42&lt;1),"黄色",IF(Q42="进行中","蓝色","灰色")))))</x:f>
        <x:v>灰色</x:v>
      </x:c>
      <x:c r="Q42" s="27" t="str">
        <x:v>未开始</x:v>
      </x:c>
      <x:c r="R42" s="39" t="n">
        <x:v>0</x:v>
      </x:c>
      <x:c r="S42" s="27" t="str">
        <x:v>缺卷、重复卷和顺序异常被拒绝</x:v>
      </x:c>
      <x:c r="T42" s="27" t="str"/>
    </x:row>
    <x:row r="43">
      <x:c r="A43" s="27" t="str">
        <x:v>M3-08</x:v>
      </x:c>
      <x:c r="B43" s="27" t="str">
        <x:v>M3</x:v>
      </x:c>
      <x:c r="C43" s="27" t="str">
        <x:v>PDF</x:v>
      </x:c>
      <x:c r="D43" s="27" t="str">
        <x:v>实现分卷 PDF 合并</x:v>
      </x:c>
      <x:c r="E43" s="27" t="str">
        <x:v>PdfMerger</x:v>
      </x:c>
      <x:c r="F43" s="27" t="str">
        <x:v>核心开发</x:v>
      </x:c>
      <x:c r="G43" s="27" t="str">
        <x:v>测试工程师</x:v>
      </x:c>
      <x:c r="H43" s="27" t="str">
        <x:v>P0</x:v>
      </x:c>
      <x:c r="I43" s="27" t="str">
        <x:v>M3-07</x:v>
      </x:c>
      <x:c r="J43" s="27" t="n">
        <x:v>45</x:v>
      </x:c>
      <x:c r="K43" s="27" t="n">
        <x:v>4</x:v>
      </x:c>
      <x:c r="L43" s="41" t="n">
        <x:v>1</x:v>
      </x:c>
      <x:c r="M43" s="37" t="n">
        <x:f>WORKDAY('执行看板'!$B$4,J43)</x:f>
        <x:v>46286</x:v>
      </x:c>
      <x:c r="N43" s="37" t="n">
        <x:f>WORKDAY(M43,K43-1)</x:f>
        <x:v>46289</x:v>
      </x:c>
      <x:c r="O43" s="41" t="n">
        <x:f>K43*L43</x:f>
        <x:v>4</x:v>
      </x:c>
      <x:c r="P43" s="27" t="str">
        <x:f>IF(Q43="已完成","绿色",IF(Q43="阻塞","红色",IF(Q43="延期","红色",IF(AND(TODAY()&gt;N43,R43&lt;1),"黄色",IF(Q43="进行中","蓝色","灰色")))))</x:f>
        <x:v>灰色</x:v>
      </x:c>
      <x:c r="Q43" s="27" t="str">
        <x:v>未开始</x:v>
      </x:c>
      <x:c r="R43" s="39" t="n">
        <x:v>0</x:v>
      </x:c>
      <x:c r="S43" s="27" t="str">
        <x:v>临时输出、块安全点和大文件稳定</x:v>
      </x:c>
      <x:c r="T43" s="27" t="str"/>
    </x:row>
    <x:row r="44">
      <x:c r="A44" s="27" t="str">
        <x:v>M3-09</x:v>
      </x:c>
      <x:c r="B44" s="27" t="str">
        <x:v>M3</x:v>
      </x:c>
      <x:c r="C44" s="27" t="str">
        <x:v>校验</x:v>
      </x:c>
      <x:c r="D44" s="27" t="str">
        <x:v>实现 SHA256 流式校验</x:v>
      </x:c>
      <x:c r="E44" s="27" t="str">
        <x:v>Verifier</x:v>
      </x:c>
      <x:c r="F44" s="27" t="str">
        <x:v>核心开发</x:v>
      </x:c>
      <x:c r="G44" s="27" t="str">
        <x:v>测试工程师</x:v>
      </x:c>
      <x:c r="H44" s="27" t="str">
        <x:v>P0</x:v>
      </x:c>
      <x:c r="I44" s="27" t="str">
        <x:v>M3-06,M3-08</x:v>
      </x:c>
      <x:c r="J44" s="27" t="n">
        <x:v>48</x:v>
      </x:c>
      <x:c r="K44" s="27" t="n">
        <x:v>3</x:v>
      </x:c>
      <x:c r="L44" s="41" t="n">
        <x:v>1</x:v>
      </x:c>
      <x:c r="M44" s="37" t="n">
        <x:f>WORKDAY('执行看板'!$B$4,J44)</x:f>
        <x:v>46289</x:v>
      </x:c>
      <x:c r="N44" s="37" t="n">
        <x:f>WORKDAY(M44,K44-1)</x:f>
        <x:v>46293</x:v>
      </x:c>
      <x:c r="O44" s="41" t="n">
        <x:f>K44*L44</x:f>
        <x:v>3</x:v>
      </x:c>
      <x:c r="P44" s="27" t="str">
        <x:f>IF(Q44="已完成","绿色",IF(Q44="阻塞","红色",IF(Q44="延期","红色",IF(AND(TODAY()&gt;N44,R44&lt;1),"黄色",IF(Q44="进行中","蓝色","灰色")))))</x:f>
        <x:v>灰色</x:v>
      </x:c>
      <x:c r="Q44" s="27" t="str">
        <x:v>未开始</x:v>
      </x:c>
      <x:c r="R44" s="39" t="n">
        <x:v>0</x:v>
      </x:c>
      <x:c r="S44" s="27" t="str">
        <x:v>取消时丢弃部分哈希</x:v>
      </x:c>
      <x:c r="T44" s="27" t="str"/>
    </x:row>
    <x:row r="45">
      <x:c r="A45" s="27" t="str">
        <x:v>M3-10</x:v>
      </x:c>
      <x:c r="B45" s="27" t="str">
        <x:v>M3</x:v>
      </x:c>
      <x:c r="C45" s="27" t="str">
        <x:v>发布</x:v>
      </x:c>
      <x:c r="D45" s="27" t="str">
        <x:v>实现原子发布与 clean</x:v>
      </x:c>
      <x:c r="E45" s="27" t="str">
        <x:v>OutputPublisher</x:v>
      </x:c>
      <x:c r="F45" s="27" t="str">
        <x:v>核心开发</x:v>
      </x:c>
      <x:c r="G45" s="27" t="str">
        <x:v>技术负责人</x:v>
      </x:c>
      <x:c r="H45" s="27" t="str">
        <x:v>P0</x:v>
      </x:c>
      <x:c r="I45" s="27" t="str">
        <x:v>M3-09,M1-04</x:v>
      </x:c>
      <x:c r="J45" s="27" t="n">
        <x:v>50</x:v>
      </x:c>
      <x:c r="K45" s="27" t="n">
        <x:v>4</x:v>
      </x:c>
      <x:c r="L45" s="41" t="n">
        <x:v>1</x:v>
      </x:c>
      <x:c r="M45" s="37" t="n">
        <x:f>WORKDAY('执行看板'!$B$4,J45)</x:f>
        <x:v>46293</x:v>
      </x:c>
      <x:c r="N45" s="37" t="n">
        <x:f>WORKDAY(M45,K45-1)</x:f>
        <x:v>46296</x:v>
      </x:c>
      <x:c r="O45" s="41" t="n">
        <x:f>K45*L45</x:f>
        <x:v>4</x:v>
      </x:c>
      <x:c r="P45" s="27" t="str">
        <x:f>IF(Q45="已完成","绿色",IF(Q45="阻塞","红色",IF(Q45="延期","红色",IF(AND(TODAY()&gt;N45,R45&lt;1),"黄色",IF(Q45="进行中","蓝色","灰色")))))</x:f>
        <x:v>灰色</x:v>
      </x:c>
      <x:c r="Q45" s="27" t="str">
        <x:v>未开始</x:v>
      </x:c>
      <x:c r="R45" s="39" t="n">
        <x:v>0</x:v>
      </x:c>
      <x:c r="S45" s="27" t="str">
        <x:v>验证成功后发布；clean 不误删</x:v>
      </x:c>
      <x:c r="T45" s="27" t="str"/>
    </x:row>
    <x:row r="46">
      <x:c r="A46" s="27" t="str">
        <x:v>M3-11</x:v>
      </x:c>
      <x:c r="B46" s="27" t="str">
        <x:v>M3</x:v>
      </x:c>
      <x:c r="C46" s="27" t="str">
        <x:v>任务</x:v>
      </x:c>
      <x:c r="D46" s="27" t="str">
        <x:v>实现安全取消与中断恢复</x:v>
      </x:c>
      <x:c r="E46" s="27" t="str">
        <x:v>RecoveryCoordinator</x:v>
      </x:c>
      <x:c r="F46" s="27" t="str">
        <x:v>核心开发</x:v>
      </x:c>
      <x:c r="G46" s="27" t="str">
        <x:v>测试工程师</x:v>
      </x:c>
      <x:c r="H46" s="27" t="str">
        <x:v>P0</x:v>
      </x:c>
      <x:c r="I46" s="27" t="str">
        <x:v>M3-05,M3-10</x:v>
      </x:c>
      <x:c r="J46" s="27" t="n">
        <x:v>51</x:v>
      </x:c>
      <x:c r="K46" s="27" t="n">
        <x:v>4</x:v>
      </x:c>
      <x:c r="L46" s="41" t="n">
        <x:v>1</x:v>
      </x:c>
      <x:c r="M46" s="37" t="n">
        <x:f>WORKDAY('执行看板'!$B$4,J46)</x:f>
        <x:v>46294</x:v>
      </x:c>
      <x:c r="N46" s="37" t="n">
        <x:f>WORKDAY(M46,K46-1)</x:f>
        <x:v>46297</x:v>
      </x:c>
      <x:c r="O46" s="41" t="n">
        <x:f>K46*L46</x:f>
        <x:v>4</x:v>
      </x:c>
      <x:c r="P46" s="27" t="str">
        <x:f>IF(Q46="已完成","绿色",IF(Q46="阻塞","红色",IF(Q46="延期","红色",IF(AND(TODAY()&gt;N46,R46&lt;1),"黄色",IF(Q46="进行中","蓝色","灰色")))))</x:f>
        <x:v>灰色</x:v>
      </x:c>
      <x:c r="Q46" s="27" t="str">
        <x:v>未开始</x:v>
      </x:c>
      <x:c r="R46" s="39" t="n">
        <x:v>0</x:v>
      </x:c>
      <x:c r="S46" s="27" t="str">
        <x:v>running/cancelling 重启后转 interrupted</x:v>
      </x:c>
      <x:c r="T46" s="27" t="str"/>
    </x:row>
    <x:row r="47">
      <x:c r="A47" s="27" t="str">
        <x:v>M3-12</x:v>
      </x:c>
      <x:c r="B47" s="27" t="str">
        <x:v>M3</x:v>
      </x:c>
      <x:c r="C47" s="27" t="str">
        <x:v>UI</x:v>
      </x:c>
      <x:c r="D47" s="27" t="str">
        <x:v>实现下载确认与任务中心</x:v>
      </x:c>
      <x:c r="E47" s="27" t="str">
        <x:v>TaskCenterScreen</x:v>
      </x:c>
      <x:c r="F47" s="27" t="str">
        <x:v>UI开发</x:v>
      </x:c>
      <x:c r="G47" s="27" t="str">
        <x:v>核心开发</x:v>
      </x:c>
      <x:c r="H47" s="27" t="str">
        <x:v>P0</x:v>
      </x:c>
      <x:c r="I47" s="27" t="str">
        <x:v>M3-05</x:v>
      </x:c>
      <x:c r="J47" s="27" t="n">
        <x:v>42</x:v>
      </x:c>
      <x:c r="K47" s="27" t="n">
        <x:v>5</x:v>
      </x:c>
      <x:c r="L47" s="41" t="n">
        <x:v>1</x:v>
      </x:c>
      <x:c r="M47" s="37" t="n">
        <x:f>WORKDAY('执行看板'!$B$4,J47)</x:f>
        <x:v>46281</x:v>
      </x:c>
      <x:c r="N47" s="37" t="n">
        <x:f>WORKDAY(M47,K47-1)</x:f>
        <x:v>46287</x:v>
      </x:c>
      <x:c r="O47" s="41" t="n">
        <x:f>K47*L47</x:f>
        <x:v>5</x:v>
      </x:c>
      <x:c r="P47" s="27" t="str">
        <x:f>IF(Q47="已完成","绿色",IF(Q47="阻塞","红色",IF(Q47="延期","红色",IF(AND(TODAY()&gt;N47,R47&lt;1),"黄色",IF(Q47="进行中","蓝色","灰色")))))</x:f>
        <x:v>灰色</x:v>
      </x:c>
      <x:c r="Q47" s="27" t="str">
        <x:v>未开始</x:v>
      </x:c>
      <x:c r="R47" s="39" t="n">
        <x:v>0</x:v>
      </x:c>
      <x:c r="S47" s="27" t="str">
        <x:v>F5/F6、进度、取消和错误展示完整</x:v>
      </x:c>
      <x:c r="T47" s="27" t="str"/>
    </x:row>
    <x:row r="48">
      <x:c r="A48" s="27" t="str">
        <x:v>M3-13</x:v>
      </x:c>
      <x:c r="B48" s="27" t="str">
        <x:v>M3</x:v>
      </x:c>
      <x:c r="C48" s="27" t="str">
        <x:v>UI</x:v>
      </x:c>
      <x:c r="D48" s="27" t="str">
        <x:v>实现速度与 ETA 展示</x:v>
      </x:c>
      <x:c r="E48" s="27" t="str">
        <x:v>ProgressPanel</x:v>
      </x:c>
      <x:c r="F48" s="27" t="str">
        <x:v>UI开发</x:v>
      </x:c>
      <x:c r="G48" s="27" t="str">
        <x:v>核心开发</x:v>
      </x:c>
      <x:c r="H48" s="27" t="str">
        <x:v>P1</x:v>
      </x:c>
      <x:c r="I48" s="27" t="str">
        <x:v>M3-05,M3-12</x:v>
      </x:c>
      <x:c r="J48" s="27" t="n">
        <x:v>46</x:v>
      </x:c>
      <x:c r="K48" s="27" t="n">
        <x:v>3</x:v>
      </x:c>
      <x:c r="L48" s="41" t="n">
        <x:v>0.8</x:v>
      </x:c>
      <x:c r="M48" s="37" t="n">
        <x:f>WORKDAY('执行看板'!$B$4,J48)</x:f>
        <x:v>46287</x:v>
      </x:c>
      <x:c r="N48" s="37" t="n">
        <x:f>WORKDAY(M48,K48-1)</x:f>
        <x:v>46289</x:v>
      </x:c>
      <x:c r="O48" s="41" t="n">
        <x:f>K48*L48</x:f>
        <x:v>2.4000000000000004</x:v>
      </x:c>
      <x:c r="P48" s="27" t="str">
        <x:f>IF(Q48="已完成","绿色",IF(Q48="阻塞","红色",IF(Q48="延期","红色",IF(AND(TODAY()&gt;N48,R48&lt;1),"黄色",IF(Q48="进行中","蓝色","灰色")))))</x:f>
        <x:v>灰色</x:v>
      </x:c>
      <x:c r="Q48" s="27" t="str">
        <x:v>未开始</x:v>
      </x:c>
      <x:c r="R48" s="39" t="n">
        <x:v>0</x:v>
      </x:c>
      <x:c r="S48" s="27" t="str">
        <x:v>平滑更新并明确 Git 进度为估算</x:v>
      </x:c>
      <x:c r="T48" s="27" t="str"/>
    </x:row>
    <x:row r="49">
      <x:c r="A49" s="27" t="str">
        <x:v>M3-14</x:v>
      </x:c>
      <x:c r="B49" s="27" t="str">
        <x:v>M3</x:v>
      </x:c>
      <x:c r="C49" s="27" t="str">
        <x:v>测试</x:v>
      </x:c>
      <x:c r="D49" s="27" t="str">
        <x:v>下载管线故障注入测试</x:v>
      </x:c>
      <x:c r="E49" s="27" t="str">
        <x:v>M3 故障测试报告</x:v>
      </x:c>
      <x:c r="F49" s="27" t="str">
        <x:v>测试工程师</x:v>
      </x:c>
      <x:c r="G49" s="27" t="str">
        <x:v>核心开发</x:v>
      </x:c>
      <x:c r="H49" s="27" t="str">
        <x:v>P0</x:v>
      </x:c>
      <x:c r="I49" s="27" t="str">
        <x:v>M3-06,M3-10,M3-11,M3-13</x:v>
      </x:c>
      <x:c r="J49" s="27" t="n">
        <x:v>54</x:v>
      </x:c>
      <x:c r="K49" s="27" t="n">
        <x:v>5</x:v>
      </x:c>
      <x:c r="L49" s="41" t="n">
        <x:v>1</x:v>
      </x:c>
      <x:c r="M49" s="37" t="n">
        <x:f>WORKDAY('执行看板'!$B$4,J49)</x:f>
        <x:v>46297</x:v>
      </x:c>
      <x:c r="N49" s="37" t="n">
        <x:f>WORKDAY(M49,K49-1)</x:f>
        <x:v>46303</x:v>
      </x:c>
      <x:c r="O49" s="41" t="n">
        <x:f>K49*L49</x:f>
        <x:v>5</x:v>
      </x:c>
      <x:c r="P49" s="27" t="str">
        <x:f>IF(Q49="已完成","绿色",IF(Q49="阻塞","红色",IF(Q49="延期","红色",IF(AND(TODAY()&gt;N49,R49&lt;1),"黄色",IF(Q49="进行中","蓝色","灰色")))))</x:f>
        <x:v>灰色</x:v>
      </x:c>
      <x:c r="Q49" s="27" t="str">
        <x:v>未开始</x:v>
      </x:c>
      <x:c r="R49" s="39" t="n">
        <x:v>0</x:v>
      </x:c>
      <x:c r="S49" s="27" t="str">
        <x:v>断网、写满、哈希错误、崩溃等 P0 通过</x:v>
      </x:c>
      <x:c r="T49" s="27" t="str"/>
    </x:row>
    <x:row r="50">
      <x:c r="A50" s="27" t="str">
        <x:v>M3-15</x:v>
      </x:c>
      <x:c r="B50" s="27" t="str">
        <x:v>M3</x:v>
      </x:c>
      <x:c r="C50" s="27" t="str">
        <x:v>项目管理</x:v>
      </x:c>
      <x:c r="D50" s="27" t="str">
        <x:v>M3 演示与退出</x:v>
      </x:c>
      <x:c r="E50" s="27" t="str">
        <x:v>M3 演示记录</x:v>
      </x:c>
      <x:c r="F50" s="27" t="str">
        <x:v>项目经理</x:v>
      </x:c>
      <x:c r="G50" s="27" t="str">
        <x:v>全体</x:v>
      </x:c>
      <x:c r="H50" s="27" t="str">
        <x:v>P0</x:v>
      </x:c>
      <x:c r="I50" s="27" t="str">
        <x:v>M3-14</x:v>
      </x:c>
      <x:c r="J50" s="27" t="n">
        <x:v>59</x:v>
      </x:c>
      <x:c r="K50" s="27" t="n">
        <x:v>1</x:v>
      </x:c>
      <x:c r="L50" s="41" t="n">
        <x:v>0.5</x:v>
      </x:c>
      <x:c r="M50" s="37" t="n">
        <x:f>WORKDAY('执行看板'!$B$4,J50)</x:f>
        <x:v>46304</x:v>
      </x:c>
      <x:c r="N50" s="37" t="n">
        <x:f>WORKDAY(M50,K50-1)</x:f>
        <x:v>46304</x:v>
      </x:c>
      <x:c r="O50" s="41" t="n">
        <x:f>K50*L50</x:f>
        <x:v>0.5</x:v>
      </x:c>
      <x:c r="P50" s="27" t="str">
        <x:f>IF(Q50="已完成","绿色",IF(Q50="阻塞","红色",IF(Q50="延期","红色",IF(AND(TODAY()&gt;N50,R50&lt;1),"黄色",IF(Q50="进行中","蓝色","灰色")))))</x:f>
        <x:v>灰色</x:v>
      </x:c>
      <x:c r="Q50" s="27" t="str">
        <x:v>未开始</x:v>
      </x:c>
      <x:c r="R50" s="39" t="n">
        <x:v>0</x:v>
      </x:c>
      <x:c r="S50" s="27" t="str">
        <x:v>普通和分卷教材均可安全下载</x:v>
      </x:c>
      <x:c r="T50" s="27" t="str"/>
    </x:row>
    <x:row r="51">
      <x:c r="A51" s="27" t="str">
        <x:v>M4-01</x:v>
      </x:c>
      <x:c r="B51" s="27" t="str">
        <x:v>M4</x:v>
      </x:c>
      <x:c r="C51" s="27" t="str">
        <x:v>UI</x:v>
      </x:c>
      <x:c r="D51" s="27" t="str">
        <x:v>实现日志窗口</x:v>
      </x:c>
      <x:c r="E51" s="27" t="str">
        <x:v>LogsScreen</x:v>
      </x:c>
      <x:c r="F51" s="27" t="str">
        <x:v>UI开发</x:v>
      </x:c>
      <x:c r="G51" s="27" t="str">
        <x:v>核心开发</x:v>
      </x:c>
      <x:c r="H51" s="27" t="str">
        <x:v>P1</x:v>
      </x:c>
      <x:c r="I51" s="27" t="str">
        <x:v>M1-06,M3-15</x:v>
      </x:c>
      <x:c r="J51" s="27" t="n">
        <x:v>60</x:v>
      </x:c>
      <x:c r="K51" s="27" t="n">
        <x:v>4</x:v>
      </x:c>
      <x:c r="L51" s="41" t="n">
        <x:v>1</x:v>
      </x:c>
      <x:c r="M51" s="37" t="n">
        <x:f>WORKDAY('执行看板'!$B$4,J51)</x:f>
        <x:v>46307</x:v>
      </x:c>
      <x:c r="N51" s="37" t="n">
        <x:f>WORKDAY(M51,K51-1)</x:f>
        <x:v>46310</x:v>
      </x:c>
      <x:c r="O51" s="41" t="n">
        <x:f>K51*L51</x:f>
        <x:v>4</x:v>
      </x:c>
      <x:c r="P51" s="27" t="str">
        <x:f>IF(Q51="已完成","绿色",IF(Q51="阻塞","红色",IF(Q51="延期","红色",IF(AND(TODAY()&gt;N51,R51&lt;1),"黄色",IF(Q51="进行中","蓝色","灰色")))))</x:f>
        <x:v>灰色</x:v>
      </x:c>
      <x:c r="Q51" s="27" t="str">
        <x:v>未开始</x:v>
      </x:c>
      <x:c r="R51" s="39" t="n">
        <x:v>0</x:v>
      </x:c>
      <x:c r="S51" s="27" t="str">
        <x:v>过滤、滚动、复制和视图清空可用</x:v>
      </x:c>
      <x:c r="T51" s="27" t="str"/>
    </x:row>
    <x:row r="52">
      <x:c r="A52" s="27" t="str">
        <x:v>M4-02</x:v>
      </x:c>
      <x:c r="B52" s="27" t="str">
        <x:v>M4</x:v>
      </x:c>
      <x:c r="C52" s="27" t="str">
        <x:v>诊断</x:v>
      </x:c>
      <x:c r="D52" s="27" t="str">
        <x:v>实现诊断包导出</x:v>
      </x:c>
      <x:c r="E52" s="27" t="str">
        <x:v>DiagnosticService</x:v>
      </x:c>
      <x:c r="F52" s="27" t="str">
        <x:v>核心开发</x:v>
      </x:c>
      <x:c r="G52" s="27" t="str">
        <x:v>测试工程师</x:v>
      </x:c>
      <x:c r="H52" s="27" t="str">
        <x:v>P1</x:v>
      </x:c>
      <x:c r="I52" s="27" t="str">
        <x:v>M1-07,M4-01</x:v>
      </x:c>
      <x:c r="J52" s="27" t="n">
        <x:v>62</x:v>
      </x:c>
      <x:c r="K52" s="27" t="n">
        <x:v>3</x:v>
      </x:c>
      <x:c r="L52" s="41" t="n">
        <x:v>0.8</x:v>
      </x:c>
      <x:c r="M52" s="37" t="n">
        <x:f>WORKDAY('执行看板'!$B$4,J52)</x:f>
        <x:v>46309</x:v>
      </x:c>
      <x:c r="N52" s="37" t="n">
        <x:f>WORKDAY(M52,K52-1)</x:f>
        <x:v>46311</x:v>
      </x:c>
      <x:c r="O52" s="41" t="n">
        <x:f>K52*L52</x:f>
        <x:v>2.4000000000000004</x:v>
      </x:c>
      <x:c r="P52" s="27" t="str">
        <x:f>IF(Q52="已完成","绿色",IF(Q52="阻塞","红色",IF(Q52="延期","红色",IF(AND(TODAY()&gt;N52,R52&lt;1),"黄色",IF(Q52="进行中","蓝色","灰色")))))</x:f>
        <x:v>灰色</x:v>
      </x:c>
      <x:c r="Q52" s="27" t="str">
        <x:v>未开始</x:v>
      </x:c>
      <x:c r="R52" s="39" t="n">
        <x:v>0</x:v>
      </x:c>
      <x:c r="S52" s="27" t="str">
        <x:v>环境、状态、日志摘要完整且脱敏</x:v>
      </x:c>
      <x:c r="T52" s="27" t="str"/>
    </x:row>
    <x:row r="53">
      <x:c r="A53" s="27" t="str">
        <x:v>M4-03</x:v>
      </x:c>
      <x:c r="B53" s="27" t="str">
        <x:v>M4</x:v>
      </x:c>
      <x:c r="C53" s="27" t="str">
        <x:v>更新</x:v>
      </x:c>
      <x:c r="D53" s="27" t="str">
        <x:v>实现软件版本检查</x:v>
      </x:c>
      <x:c r="E53" s="27" t="str">
        <x:v>ReleaseUpdateService</x:v>
      </x:c>
      <x:c r="F53" s="27" t="str">
        <x:v>核心开发</x:v>
      </x:c>
      <x:c r="G53" s="27" t="str">
        <x:v>UI开发</x:v>
      </x:c>
      <x:c r="H53" s="27" t="str">
        <x:v>P2</x:v>
      </x:c>
      <x:c r="I53" s="27" t="str">
        <x:v>M3-15</x:v>
      </x:c>
      <x:c r="J53" s="27" t="n">
        <x:v>60</x:v>
      </x:c>
      <x:c r="K53" s="27" t="n">
        <x:v>3</x:v>
      </x:c>
      <x:c r="L53" s="41" t="n">
        <x:v>0.8</x:v>
      </x:c>
      <x:c r="M53" s="37" t="n">
        <x:f>WORKDAY('执行看板'!$B$4,J53)</x:f>
        <x:v>46307</x:v>
      </x:c>
      <x:c r="N53" s="37" t="n">
        <x:f>WORKDAY(M53,K53-1)</x:f>
        <x:v>46309</x:v>
      </x:c>
      <x:c r="O53" s="41" t="n">
        <x:f>K53*L53</x:f>
        <x:v>2.4000000000000004</x:v>
      </x:c>
      <x:c r="P53" s="27" t="str">
        <x:f>IF(Q53="已完成","绿色",IF(Q53="阻塞","红色",IF(Q53="延期","红色",IF(AND(TODAY()&gt;N53,R53&lt;1),"黄色",IF(Q53="进行中","蓝色","灰色")))))</x:f>
        <x:v>灰色</x:v>
      </x:c>
      <x:c r="Q53" s="27" t="str">
        <x:v>未开始</x:v>
      </x:c>
      <x:c r="R53" s="39" t="n">
        <x:v>0</x:v>
      </x:c>
      <x:c r="S53" s="27" t="str">
        <x:v>GitHub Releases 超时不阻断主功能</x:v>
      </x:c>
      <x:c r="T53" s="27" t="str"/>
    </x:row>
    <x:row r="54">
      <x:c r="A54" s="27" t="str">
        <x:v>M4-04</x:v>
      </x:c>
      <x:c r="B54" s="27" t="str">
        <x:v>M4</x:v>
      </x:c>
      <x:c r="C54" s="27" t="str">
        <x:v>更新</x:v>
      </x:c>
      <x:c r="D54" s="27" t="str">
        <x:v>实现教材仓库变更检测</x:v>
      </x:c>
      <x:c r="E54" s="27" t="str">
        <x:v>CatalogDiffService</x:v>
      </x:c>
      <x:c r="F54" s="27" t="str">
        <x:v>核心开发</x:v>
      </x:c>
      <x:c r="G54" s="27" t="str">
        <x:v>测试工程师</x:v>
      </x:c>
      <x:c r="H54" s="27" t="str">
        <x:v>P1</x:v>
      </x:c>
      <x:c r="I54" s="27" t="str">
        <x:v>M2-05,M3-15</x:v>
      </x:c>
      <x:c r="J54" s="27" t="n">
        <x:v>61</x:v>
      </x:c>
      <x:c r="K54" s="27" t="n">
        <x:v>4</x:v>
      </x:c>
      <x:c r="L54" s="41" t="n">
        <x:v>1</x:v>
      </x:c>
      <x:c r="M54" s="37" t="n">
        <x:f>WORKDAY('执行看板'!$B$4,J54)</x:f>
        <x:v>46308</x:v>
      </x:c>
      <x:c r="N54" s="37" t="n">
        <x:f>WORKDAY(M54,K54-1)</x:f>
        <x:v>46311</x:v>
      </x:c>
      <x:c r="O54" s="41" t="n">
        <x:f>K54*L54</x:f>
        <x:v>4</x:v>
      </x:c>
      <x:c r="P54" s="27" t="str">
        <x:f>IF(Q54="已完成","绿色",IF(Q54="阻塞","红色",IF(Q54="延期","红色",IF(AND(TODAY()&gt;N54,R54&lt;1),"黄色",IF(Q54="进行中","蓝色","灰色")))))</x:f>
        <x:v>灰色</x:v>
      </x:c>
      <x:c r="Q54" s="27" t="str">
        <x:v>未开始</x:v>
      </x:c>
      <x:c r="R54" s="39" t="n">
        <x:v>0</x:v>
      </x:c>
      <x:c r="S54" s="27" t="str">
        <x:v>新增、修改、删除和结构变化分类准确</x:v>
      </x:c>
      <x:c r="T54" s="27" t="str"/>
    </x:row>
    <x:row r="55">
      <x:c r="A55" s="27" t="str">
        <x:v>M4-05</x:v>
      </x:c>
      <x:c r="B55" s="27" t="str">
        <x:v>M4</x:v>
      </x:c>
      <x:c r="C55" s="27" t="str">
        <x:v>UI</x:v>
      </x:c>
      <x:c r="D55" s="27" t="str">
        <x:v>实现更新中心</x:v>
      </x:c>
      <x:c r="E55" s="27" t="str">
        <x:v>UpdatesScreen</x:v>
      </x:c>
      <x:c r="F55" s="27" t="str">
        <x:v>UI开发</x:v>
      </x:c>
      <x:c r="G55" s="27" t="str">
        <x:v>核心开发</x:v>
      </x:c>
      <x:c r="H55" s="27" t="str">
        <x:v>P1</x:v>
      </x:c>
      <x:c r="I55" s="27" t="str">
        <x:v>M4-03,M4-04</x:v>
      </x:c>
      <x:c r="J55" s="27" t="n">
        <x:v>64</x:v>
      </x:c>
      <x:c r="K55" s="27" t="n">
        <x:v>3</x:v>
      </x:c>
      <x:c r="L55" s="41" t="n">
        <x:v>1</x:v>
      </x:c>
      <x:c r="M55" s="37" t="n">
        <x:f>WORKDAY('执行看板'!$B$4,J55)</x:f>
        <x:v>46311</x:v>
      </x:c>
      <x:c r="N55" s="37" t="n">
        <x:f>WORKDAY(M55,K55-1)</x:f>
        <x:v>46315</x:v>
      </x:c>
      <x:c r="O55" s="41" t="n">
        <x:f>K55*L55</x:f>
        <x:v>3</x:v>
      </x:c>
      <x:c r="P55" s="27" t="str">
        <x:f>IF(Q55="已完成","绿色",IF(Q55="阻塞","红色",IF(Q55="延期","红色",IF(AND(TODAY()&gt;N55,R55&lt;1),"黄色",IF(Q55="进行中","蓝色","灰色")))))</x:f>
        <x:v>灰色</x:v>
      </x:c>
      <x:c r="Q55" s="27" t="str">
        <x:v>未开始</x:v>
      </x:c>
      <x:c r="R55" s="39" t="n">
        <x:v>0</x:v>
      </x:c>
      <x:c r="S55" s="27" t="str">
        <x:v>F9、稍后、忽略版本和查看变化可用</x:v>
      </x:c>
      <x:c r="T55" s="27" t="str"/>
    </x:row>
    <x:row r="56">
      <x:c r="A56" s="27" t="str">
        <x:v>M4-06</x:v>
      </x:c>
      <x:c r="B56" s="27" t="str">
        <x:v>M4</x:v>
      </x:c>
      <x:c r="C56" s="27" t="str">
        <x:v>UI</x:v>
      </x:c>
      <x:c r="D56" s="27" t="str">
        <x:v>实现帮助与环境诊断窗口</x:v>
      </x:c>
      <x:c r="E56" s="27" t="str">
        <x:v>HelpScreen</x:v>
      </x:c>
      <x:c r="F56" s="27" t="str">
        <x:v>UI开发</x:v>
      </x:c>
      <x:c r="G56" s="27" t="str">
        <x:v>核心开发</x:v>
      </x:c>
      <x:c r="H56" s="27" t="str">
        <x:v>P1</x:v>
      </x:c>
      <x:c r="I56" s="27" t="str">
        <x:v>M1-01,M2-01</x:v>
      </x:c>
      <x:c r="J56" s="27" t="n">
        <x:v>60</x:v>
      </x:c>
      <x:c r="K56" s="27" t="n">
        <x:v>4</x:v>
      </x:c>
      <x:c r="L56" s="41" t="n">
        <x:v>1</x:v>
      </x:c>
      <x:c r="M56" s="37" t="n">
        <x:f>WORKDAY('执行看板'!$B$4,J56)</x:f>
        <x:v>46307</x:v>
      </x:c>
      <x:c r="N56" s="37" t="n">
        <x:f>WORKDAY(M56,K56-1)</x:f>
        <x:v>46310</x:v>
      </x:c>
      <x:c r="O56" s="41" t="n">
        <x:f>K56*L56</x:f>
        <x:v>4</x:v>
      </x:c>
      <x:c r="P56" s="27" t="str">
        <x:f>IF(Q56="已完成","绿色",IF(Q56="阻塞","红色",IF(Q56="延期","红色",IF(AND(TODAY()&gt;N56,R56&lt;1),"黄色",IF(Q56="进行中","蓝色","灰色")))))</x:f>
        <x:v>灰色</x:v>
      </x:c>
      <x:c r="Q56" s="27" t="str">
        <x:v>未开始</x:v>
      </x:c>
      <x:c r="R56" s="39" t="n">
        <x:v>0</x:v>
      </x:c>
      <x:c r="S56" s="27" t="str">
        <x:v>F1、快捷键、FAQ 和诊断页完整</x:v>
      </x:c>
      <x:c r="T56" s="27" t="str"/>
    </x:row>
    <x:row r="57">
      <x:c r="A57" s="27" t="str">
        <x:v>M4-07</x:v>
      </x:c>
      <x:c r="B57" s="27" t="str">
        <x:v>M4</x:v>
      </x:c>
      <x:c r="C57" s="27" t="str">
        <x:v>文件</x:v>
      </x:c>
      <x:c r="D57" s="27" t="str">
        <x:v>实现跨平台打开文件与目录</x:v>
      </x:c>
      <x:c r="E57" s="27" t="str">
        <x:v>PlatformOpener</x:v>
      </x:c>
      <x:c r="F57" s="27" t="str">
        <x:v>核心开发</x:v>
      </x:c>
      <x:c r="G57" s="27" t="str">
        <x:v>UI开发</x:v>
      </x:c>
      <x:c r="H57" s="27" t="str">
        <x:v>P2</x:v>
      </x:c>
      <x:c r="I57" s="27" t="str">
        <x:v>M3-10</x:v>
      </x:c>
      <x:c r="J57" s="27" t="n">
        <x:v>63</x:v>
      </x:c>
      <x:c r="K57" s="27" t="n">
        <x:v>2</x:v>
      </x:c>
      <x:c r="L57" s="41" t="n">
        <x:v>0.8</x:v>
      </x:c>
      <x:c r="M57" s="37" t="n">
        <x:f>WORKDAY('执行看板'!$B$4,J57)</x:f>
        <x:v>46310</x:v>
      </x:c>
      <x:c r="N57" s="37" t="n">
        <x:f>WORKDAY(M57,K57-1)</x:f>
        <x:v>46311</x:v>
      </x:c>
      <x:c r="O57" s="41" t="n">
        <x:f>K57*L57</x:f>
        <x:v>1.6</x:v>
      </x:c>
      <x:c r="P57" s="27" t="str">
        <x:f>IF(Q57="已完成","绿色",IF(Q57="阻塞","红色",IF(Q57="延期","红色",IF(AND(TODAY()&gt;N57,R57&lt;1),"黄色",IF(Q57="进行中","蓝色","灰色")))))</x:f>
        <x:v>灰色</x:v>
      </x:c>
      <x:c r="Q57" s="27" t="str">
        <x:v>未开始</x:v>
      </x:c>
      <x:c r="R57" s="39" t="n">
        <x:v>0</x:v>
      </x:c>
      <x:c r="S57" s="27" t="str">
        <x:v>O/L 在 Windows、Ubuntu 正常</x:v>
      </x:c>
      <x:c r="T57" s="27" t="str"/>
    </x:row>
    <x:row r="58">
      <x:c r="A58" s="27" t="str">
        <x:v>M4-08</x:v>
      </x:c>
      <x:c r="B58" s="27" t="str">
        <x:v>M4</x:v>
      </x:c>
      <x:c r="C58" s="27" t="str">
        <x:v>文件</x:v>
      </x:c>
      <x:c r="D58" s="27" t="str">
        <x:v>实现重新验证与重新下载操作</x:v>
      </x:c>
      <x:c r="E58" s="27" t="str">
        <x:v>BookActionService</x:v>
      </x:c>
      <x:c r="F58" s="27" t="str">
        <x:v>核心开发</x:v>
      </x:c>
      <x:c r="G58" s="27" t="str">
        <x:v>UI开发</x:v>
      </x:c>
      <x:c r="H58" s="27" t="str">
        <x:v>P1</x:v>
      </x:c>
      <x:c r="I58" s="27" t="str">
        <x:v>M3-09,M3-11</x:v>
      </x:c>
      <x:c r="J58" s="27" t="n">
        <x:v>64</x:v>
      </x:c>
      <x:c r="K58" s="27" t="n">
        <x:v>3</x:v>
      </x:c>
      <x:c r="L58" s="41" t="n">
        <x:v>0.8</x:v>
      </x:c>
      <x:c r="M58" s="37" t="n">
        <x:f>WORKDAY('执行看板'!$B$4,J58)</x:f>
        <x:v>46311</x:v>
      </x:c>
      <x:c r="N58" s="37" t="n">
        <x:f>WORKDAY(M58,K58-1)</x:f>
        <x:v>46315</x:v>
      </x:c>
      <x:c r="O58" s="41" t="n">
        <x:f>K58*L58</x:f>
        <x:v>2.4000000000000004</x:v>
      </x:c>
      <x:c r="P58" s="27" t="str">
        <x:f>IF(Q58="已完成","绿色",IF(Q58="阻塞","红色",IF(Q58="延期","红色",IF(AND(TODAY()&gt;N58,R58&lt;1),"黄色",IF(Q58="进行中","蓝色","灰色")))))</x:f>
        <x:v>灰色</x:v>
      </x:c>
      <x:c r="Q58" s="27" t="str">
        <x:v>未开始</x:v>
      </x:c>
      <x:c r="R58" s="39" t="n">
        <x:v>0</x:v>
      </x:c>
      <x:c r="S58" s="27" t="str">
        <x:v>V/R 创建新 task_id</x:v>
      </x:c>
      <x:c r="T58" s="27" t="str"/>
    </x:row>
    <x:row r="59">
      <x:c r="A59" s="27" t="str">
        <x:v>M4-09</x:v>
      </x:c>
      <x:c r="B59" s="27" t="str">
        <x:v>M4</x:v>
      </x:c>
      <x:c r="C59" s="27" t="str">
        <x:v>UI</x:v>
      </x:c>
      <x:c r="D59" s="27" t="str">
        <x:v>实现响应式布局与最小尺寸</x:v>
      </x:c>
      <x:c r="E59" s="27" t="str">
        <x:v>ResponsiveLayout</x:v>
      </x:c>
      <x:c r="F59" s="27" t="str">
        <x:v>UI开发</x:v>
      </x:c>
      <x:c r="G59" s="27" t="str">
        <x:v>测试工程师</x:v>
      </x:c>
      <x:c r="H59" s="27" t="str">
        <x:v>P1</x:v>
      </x:c>
      <x:c r="I59" s="27" t="str">
        <x:v>M2-10,M3-12,M4-01</x:v>
      </x:c>
      <x:c r="J59" s="27" t="n">
        <x:v>66</x:v>
      </x:c>
      <x:c r="K59" s="27" t="n">
        <x:v>4</x:v>
      </x:c>
      <x:c r="L59" s="41" t="n">
        <x:v>1</x:v>
      </x:c>
      <x:c r="M59" s="37" t="n">
        <x:f>WORKDAY('执行看板'!$B$4,J59)</x:f>
        <x:v>46315</x:v>
      </x:c>
      <x:c r="N59" s="37" t="n">
        <x:f>WORKDAY(M59,K59-1)</x:f>
        <x:v>46318</x:v>
      </x:c>
      <x:c r="O59" s="41" t="n">
        <x:f>K59*L59</x:f>
        <x:v>4</x:v>
      </x:c>
      <x:c r="P59" s="27" t="str">
        <x:f>IF(Q59="已完成","绿色",IF(Q59="阻塞","红色",IF(Q59="延期","红色",IF(AND(TODAY()&gt;N59,R59&lt;1),"黄色",IF(Q59="进行中","蓝色","灰色")))))</x:f>
        <x:v>灰色</x:v>
      </x:c>
      <x:c r="Q59" s="27" t="str">
        <x:v>未开始</x:v>
      </x:c>
      <x:c r="R59" s="39" t="n">
        <x:v>0</x:v>
      </x:c>
      <x:c r="S59" s="27" t="str">
        <x:v>120列三栏、85列双栏、极窄降级</x:v>
      </x:c>
      <x:c r="T59" s="27" t="str"/>
    </x:row>
    <x:row r="60">
      <x:c r="A60" s="27" t="str">
        <x:v>M4-10</x:v>
      </x:c>
      <x:c r="B60" s="27" t="str">
        <x:v>M4</x:v>
      </x:c>
      <x:c r="C60" s="27" t="str">
        <x:v>测试</x:v>
      </x:c>
      <x:c r="D60" s="27" t="str">
        <x:v>M4 功能与可用性测试</x:v>
      </x:c>
      <x:c r="E60" s="27" t="str">
        <x:v>M4 测试报告</x:v>
      </x:c>
      <x:c r="F60" s="27" t="str">
        <x:v>测试工程师</x:v>
      </x:c>
      <x:c r="G60" s="27" t="str">
        <x:v>UI开发,核心开发</x:v>
      </x:c>
      <x:c r="H60" s="27" t="str">
        <x:v>P0</x:v>
      </x:c>
      <x:c r="I60" s="27" t="str">
        <x:v>M4-02,M4-05,M4-06,M4-08,M4-09</x:v>
      </x:c>
      <x:c r="J60" s="27" t="n">
        <x:v>70</x:v>
      </x:c>
      <x:c r="K60" s="27" t="n">
        <x:v>4</x:v>
      </x:c>
      <x:c r="L60" s="41" t="n">
        <x:v>1</x:v>
      </x:c>
      <x:c r="M60" s="37" t="n">
        <x:f>WORKDAY('执行看板'!$B$4,J60)</x:f>
        <x:v>46321</x:v>
      </x:c>
      <x:c r="N60" s="37" t="n">
        <x:f>WORKDAY(M60,K60-1)</x:f>
        <x:v>46324</x:v>
      </x:c>
      <x:c r="O60" s="41" t="n">
        <x:f>K60*L60</x:f>
        <x:v>4</x:v>
      </x:c>
      <x:c r="P60" s="27" t="str">
        <x:f>IF(Q60="已完成","绿色",IF(Q60="阻塞","红色",IF(Q60="延期","红色",IF(AND(TODAY()&gt;N60,R60&lt;1),"黄色",IF(Q60="进行中","蓝色","灰色")))))</x:f>
        <x:v>灰色</x:v>
      </x:c>
      <x:c r="Q60" s="27" t="str">
        <x:v>未开始</x:v>
      </x:c>
      <x:c r="R60" s="39" t="n">
        <x:v>0</x:v>
      </x:c>
      <x:c r="S60" s="27" t="str">
        <x:v>日志、更新、帮助、文件操作 P0/P1 通过</x:v>
      </x:c>
      <x:c r="T60" s="27" t="str"/>
    </x:row>
    <x:row r="61">
      <x:c r="A61" s="27" t="str">
        <x:v>M4-11</x:v>
      </x:c>
      <x:c r="B61" s="27" t="str">
        <x:v>M4</x:v>
      </x:c>
      <x:c r="C61" s="27" t="str">
        <x:v>项目管理</x:v>
      </x:c>
      <x:c r="D61" s="27" t="str">
        <x:v>M4 演示与退出</x:v>
      </x:c>
      <x:c r="E61" s="27" t="str">
        <x:v>M4 演示记录</x:v>
      </x:c>
      <x:c r="F61" s="27" t="str">
        <x:v>项目经理</x:v>
      </x:c>
      <x:c r="G61" s="27" t="str">
        <x:v>全体</x:v>
      </x:c>
      <x:c r="H61" s="27" t="str">
        <x:v>P0</x:v>
      </x:c>
      <x:c r="I61" s="27" t="str">
        <x:v>M4-10</x:v>
      </x:c>
      <x:c r="J61" s="27" t="n">
        <x:v>74</x:v>
      </x:c>
      <x:c r="K61" s="27" t="n">
        <x:v>1</x:v>
      </x:c>
      <x:c r="L61" s="41" t="n">
        <x:v>0.5</x:v>
      </x:c>
      <x:c r="M61" s="37" t="n">
        <x:f>WORKDAY('执行看板'!$B$4,J61)</x:f>
        <x:v>46325</x:v>
      </x:c>
      <x:c r="N61" s="37" t="n">
        <x:f>WORKDAY(M61,K61-1)</x:f>
        <x:v>46325</x:v>
      </x:c>
      <x:c r="O61" s="41" t="n">
        <x:f>K61*L61</x:f>
        <x:v>0.5</x:v>
      </x:c>
      <x:c r="P61" s="27" t="str">
        <x:f>IF(Q61="已完成","绿色",IF(Q61="阻塞","红色",IF(Q61="延期","红色",IF(AND(TODAY()&gt;N61,R61&lt;1),"黄色",IF(Q61="进行中","蓝色","灰色")))))</x:f>
        <x:v>灰色</x:v>
      </x:c>
      <x:c r="Q61" s="27" t="str">
        <x:v>未开始</x:v>
      </x:c>
      <x:c r="R61" s="39" t="n">
        <x:v>0</x:v>
      </x:c>
      <x:c r="S61" s="27" t="str">
        <x:v>完整用户功能可演示</x:v>
      </x:c>
      <x:c r="T61" s="27" t="str"/>
    </x:row>
    <x:row r="62">
      <x:c r="A62" s="27" t="str">
        <x:v>M5-01</x:v>
      </x:c>
      <x:c r="B62" s="27" t="str">
        <x:v>M5</x:v>
      </x:c>
      <x:c r="C62" s="27" t="str">
        <x:v>测试</x:v>
      </x:c>
      <x:c r="D62" s="27" t="str">
        <x:v>补齐单元测试与覆盖率</x:v>
      </x:c>
      <x:c r="E62" s="27" t="str">
        <x:v>单元测试报告</x:v>
      </x:c>
      <x:c r="F62" s="27" t="str">
        <x:v>测试工程师</x:v>
      </x:c>
      <x:c r="G62" s="27" t="str">
        <x:v>核心开发,UI开发</x:v>
      </x:c>
      <x:c r="H62" s="27" t="str">
        <x:v>P0</x:v>
      </x:c>
      <x:c r="I62" s="27" t="str">
        <x:v>M4-11</x:v>
      </x:c>
      <x:c r="J62" s="27" t="n">
        <x:v>75</x:v>
      </x:c>
      <x:c r="K62" s="27" t="n">
        <x:v>6</x:v>
      </x:c>
      <x:c r="L62" s="41" t="n">
        <x:v>1</x:v>
      </x:c>
      <x:c r="M62" s="37" t="n">
        <x:f>WORKDAY('执行看板'!$B$4,J62)</x:f>
        <x:v>46328</x:v>
      </x:c>
      <x:c r="N62" s="37" t="n">
        <x:f>WORKDAY(M62,K62-1)</x:f>
        <x:v>46335</x:v>
      </x:c>
      <x:c r="O62" s="41" t="n">
        <x:f>K62*L62</x:f>
        <x:v>6</x:v>
      </x:c>
      <x:c r="P62" s="27" t="str">
        <x:f>IF(Q62="已完成","绿色",IF(Q62="阻塞","红色",IF(Q62="延期","红色",IF(AND(TODAY()&gt;N62,R62&lt;1),"黄色",IF(Q62="进行中","蓝色","灰色")))))</x:f>
        <x:v>灰色</x:v>
      </x:c>
      <x:c r="Q62" s="27" t="str">
        <x:v>未开始</x:v>
      </x:c>
      <x:c r="R62" s="39" t="n">
        <x:v>0</x:v>
      </x:c>
      <x:c r="S62" s="27" t="str">
        <x:v>核心模块覆盖率达到项目门禁</x:v>
      </x:c>
      <x:c r="T62" s="27" t="str"/>
    </x:row>
    <x:row r="63">
      <x:c r="A63" s="27" t="str">
        <x:v>M5-02</x:v>
      </x:c>
      <x:c r="B63" s="27" t="str">
        <x:v>M5</x:v>
      </x:c>
      <x:c r="C63" s="27" t="str">
        <x:v>测试</x:v>
      </x:c>
      <x:c r="D63" s="27" t="str">
        <x:v>完成集成与端到端测试</x:v>
      </x:c>
      <x:c r="E63" s="27" t="str">
        <x:v>集成/E2E 报告</x:v>
      </x:c>
      <x:c r="F63" s="27" t="str">
        <x:v>测试工程师</x:v>
      </x:c>
      <x:c r="G63" s="27" t="str">
        <x:v>核心开发,UI开发</x:v>
      </x:c>
      <x:c r="H63" s="27" t="str">
        <x:v>P0</x:v>
      </x:c>
      <x:c r="I63" s="27" t="str">
        <x:v>M4-11</x:v>
      </x:c>
      <x:c r="J63" s="27" t="n">
        <x:v>75</x:v>
      </x:c>
      <x:c r="K63" s="27" t="n">
        <x:v>7</x:v>
      </x:c>
      <x:c r="L63" s="41" t="n">
        <x:v>1</x:v>
      </x:c>
      <x:c r="M63" s="37" t="n">
        <x:f>WORKDAY('执行看板'!$B$4,J63)</x:f>
        <x:v>46328</x:v>
      </x:c>
      <x:c r="N63" s="37" t="n">
        <x:f>WORKDAY(M63,K63-1)</x:f>
        <x:v>46336</x:v>
      </x:c>
      <x:c r="O63" s="41" t="n">
        <x:f>K63*L63</x:f>
        <x:v>7</x:v>
      </x:c>
      <x:c r="P63" s="27" t="str">
        <x:f>IF(Q63="已完成","绿色",IF(Q63="阻塞","红色",IF(Q63="延期","红色",IF(AND(TODAY()&gt;N63,R63&lt;1),"黄色",IF(Q63="进行中","蓝色","灰色")))))</x:f>
        <x:v>灰色</x:v>
      </x:c>
      <x:c r="Q63" s="27" t="str">
        <x:v>未开始</x:v>
      </x:c>
      <x:c r="R63" s="39" t="n">
        <x:v>0</x:v>
      </x:c>
      <x:c r="S63" s="27" t="str">
        <x:v>3.2 中所有 P0 用例执行</x:v>
      </x:c>
      <x:c r="T63" s="27" t="str"/>
    </x:row>
    <x:row r="64">
      <x:c r="A64" s="27" t="str">
        <x:v>M5-03</x:v>
      </x:c>
      <x:c r="B64" s="27" t="str">
        <x:v>M5</x:v>
      </x:c>
      <x:c r="C64" s="27" t="str">
        <x:v>测试</x:v>
      </x:c>
      <x:c r="D64" s="27" t="str">
        <x:v>执行 Windows 兼容性矩阵</x:v>
      </x:c>
      <x:c r="E64" s="27" t="str">
        <x:v>Windows 测试报告</x:v>
      </x:c>
      <x:c r="F64" s="27" t="str">
        <x:v>测试工程师</x:v>
      </x:c>
      <x:c r="G64" s="27" t="str">
        <x:v>发布工程师</x:v>
      </x:c>
      <x:c r="H64" s="27" t="str">
        <x:v>P0</x:v>
      </x:c>
      <x:c r="I64" s="27" t="str">
        <x:v>M5-02</x:v>
      </x:c>
      <x:c r="J64" s="27" t="n">
        <x:v>81</x:v>
      </x:c>
      <x:c r="K64" s="27" t="n">
        <x:v>4</x:v>
      </x:c>
      <x:c r="L64" s="41" t="n">
        <x:v>1</x:v>
      </x:c>
      <x:c r="M64" s="37" t="n">
        <x:f>WORKDAY('执行看板'!$B$4,J64)</x:f>
        <x:v>46336</x:v>
      </x:c>
      <x:c r="N64" s="37" t="n">
        <x:f>WORKDAY(M64,K64-1)</x:f>
        <x:v>46339</x:v>
      </x:c>
      <x:c r="O64" s="41" t="n">
        <x:f>K64*L64</x:f>
        <x:v>4</x:v>
      </x:c>
      <x:c r="P64" s="27" t="str">
        <x:f>IF(Q64="已完成","绿色",IF(Q64="阻塞","红色",IF(Q64="延期","红色",IF(AND(TODAY()&gt;N64,R64&lt;1),"黄色",IF(Q64="进行中","蓝色","灰色")))))</x:f>
        <x:v>灰色</x:v>
      </x:c>
      <x:c r="Q64" s="27" t="str">
        <x:v>未开始</x:v>
      </x:c>
      <x:c r="R64" s="39" t="n">
        <x:v>0</x:v>
      </x:c>
      <x:c r="S64" s="27" t="str">
        <x:v>Windows 10/11 必测环境通过</x:v>
      </x:c>
      <x:c r="T64" s="27" t="str"/>
    </x:row>
    <x:row r="65">
      <x:c r="A65" s="27" t="str">
        <x:v>M5-04</x:v>
      </x:c>
      <x:c r="B65" s="27" t="str">
        <x:v>M5</x:v>
      </x:c>
      <x:c r="C65" s="27" t="str">
        <x:v>测试</x:v>
      </x:c>
      <x:c r="D65" s="27" t="str">
        <x:v>执行 Ubuntu 兼容性矩阵</x:v>
      </x:c>
      <x:c r="E65" s="27" t="str">
        <x:v>Ubuntu 测试报告</x:v>
      </x:c>
      <x:c r="F65" s="27" t="str">
        <x:v>测试工程师</x:v>
      </x:c>
      <x:c r="G65" s="27" t="str">
        <x:v>发布工程师</x:v>
      </x:c>
      <x:c r="H65" s="27" t="str">
        <x:v>P0</x:v>
      </x:c>
      <x:c r="I65" s="27" t="str">
        <x:v>M5-02</x:v>
      </x:c>
      <x:c r="J65" s="27" t="n">
        <x:v>81</x:v>
      </x:c>
      <x:c r="K65" s="27" t="n">
        <x:v>4</x:v>
      </x:c>
      <x:c r="L65" s="41" t="n">
        <x:v>1</x:v>
      </x:c>
      <x:c r="M65" s="37" t="n">
        <x:f>WORKDAY('执行看板'!$B$4,J65)</x:f>
        <x:v>46336</x:v>
      </x:c>
      <x:c r="N65" s="37" t="n">
        <x:f>WORKDAY(M65,K65-1)</x:f>
        <x:v>46339</x:v>
      </x:c>
      <x:c r="O65" s="41" t="n">
        <x:f>K65*L65</x:f>
        <x:v>4</x:v>
      </x:c>
      <x:c r="P65" s="27" t="str">
        <x:f>IF(Q65="已完成","绿色",IF(Q65="阻塞","红色",IF(Q65="延期","红色",IF(AND(TODAY()&gt;N65,R65&lt;1),"黄色",IF(Q65="进行中","蓝色","灰色")))))</x:f>
        <x:v>灰色</x:v>
      </x:c>
      <x:c r="Q65" s="27" t="str">
        <x:v>未开始</x:v>
      </x:c>
      <x:c r="R65" s="39" t="n">
        <x:v>0</x:v>
      </x:c>
      <x:c r="S65" s="27" t="str">
        <x:v>Ubuntu 22.04/24.04 必测环境通过</x:v>
      </x:c>
      <x:c r="T65" s="27" t="str"/>
    </x:row>
    <x:row r="66">
      <x:c r="A66" s="27" t="str">
        <x:v>M5-05</x:v>
      </x:c>
      <x:c r="B66" s="27" t="str">
        <x:v>M5</x:v>
      </x:c>
      <x:c r="C66" s="27" t="str">
        <x:v>性能</x:v>
      </x:c>
      <x:c r="D66" s="27" t="str">
        <x:v>执行目录、任务和日志压力测试</x:v>
      </x:c>
      <x:c r="E66" s="27" t="str">
        <x:v>性能报告</x:v>
      </x:c>
      <x:c r="F66" s="27" t="str">
        <x:v>测试工程师</x:v>
      </x:c>
      <x:c r="G66" s="27" t="str">
        <x:v>核心开发</x:v>
      </x:c>
      <x:c r="H66" s="27" t="str">
        <x:v>P1</x:v>
      </x:c>
      <x:c r="I66" s="27" t="str">
        <x:v>M5-01</x:v>
      </x:c>
      <x:c r="J66" s="27" t="n">
        <x:v>82</x:v>
      </x:c>
      <x:c r="K66" s="27" t="n">
        <x:v>4</x:v>
      </x:c>
      <x:c r="L66" s="41" t="n">
        <x:v>0.8</x:v>
      </x:c>
      <x:c r="M66" s="37" t="n">
        <x:f>WORKDAY('执行看板'!$B$4,J66)</x:f>
        <x:v>46337</x:v>
      </x:c>
      <x:c r="N66" s="37" t="n">
        <x:f>WORKDAY(M66,K66-1)</x:f>
        <x:v>46342</x:v>
      </x:c>
      <x:c r="O66" s="41" t="n">
        <x:f>K66*L66</x:f>
        <x:v>3.2</x:v>
      </x:c>
      <x:c r="P66" s="27" t="str">
        <x:f>IF(Q66="已完成","绿色",IF(Q66="阻塞","红色",IF(Q66="延期","红色",IF(AND(TODAY()&gt;N66,R66&lt;1),"黄色",IF(Q66="进行中","蓝色","灰色")))))</x:f>
        <x:v>灰色</x:v>
      </x:c>
      <x:c r="Q66" s="27" t="str">
        <x:v>未开始</x:v>
      </x:c>
      <x:c r="R66" s="39" t="n">
        <x:v>0</x:v>
      </x:c>
      <x:c r="S66" s="27" t="str">
        <x:v>性能指标达到 3.1</x:v>
      </x:c>
      <x:c r="T66" s="27" t="str"/>
    </x:row>
    <x:row r="67">
      <x:c r="A67" s="27" t="str">
        <x:v>M5-06</x:v>
      </x:c>
      <x:c r="B67" s="27" t="str">
        <x:v>M5</x:v>
      </x:c>
      <x:c r="C67" s="27" t="str">
        <x:v>安全</x:v>
      </x:c>
      <x:c r="D67" s="27" t="str">
        <x:v>执行路径、日志和依赖安全测试</x:v>
      </x:c>
      <x:c r="E67" s="27" t="str">
        <x:v>安全测试报告</x:v>
      </x:c>
      <x:c r="F67" s="27" t="str">
        <x:v>测试工程师</x:v>
      </x:c>
      <x:c r="G67" s="27" t="str">
        <x:v>技术负责人</x:v>
      </x:c>
      <x:c r="H67" s="27" t="str">
        <x:v>P0</x:v>
      </x:c>
      <x:c r="I67" s="27" t="str">
        <x:v>M5-01</x:v>
      </x:c>
      <x:c r="J67" s="27" t="n">
        <x:v>82</x:v>
      </x:c>
      <x:c r="K67" s="27" t="n">
        <x:v>4</x:v>
      </x:c>
      <x:c r="L67" s="41" t="n">
        <x:v>0.8</x:v>
      </x:c>
      <x:c r="M67" s="37" t="n">
        <x:f>WORKDAY('执行看板'!$B$4,J67)</x:f>
        <x:v>46337</x:v>
      </x:c>
      <x:c r="N67" s="37" t="n">
        <x:f>WORKDAY(M67,K67-1)</x:f>
        <x:v>46342</x:v>
      </x:c>
      <x:c r="O67" s="41" t="n">
        <x:f>K67*L67</x:f>
        <x:v>3.2</x:v>
      </x:c>
      <x:c r="P67" s="27" t="str">
        <x:f>IF(Q67="已完成","绿色",IF(Q67="阻塞","红色",IF(Q67="延期","红色",IF(AND(TODAY()&gt;N67,R67&lt;1),"黄色",IF(Q67="进行中","蓝色","灰色")))))</x:f>
        <x:v>灰色</x:v>
      </x:c>
      <x:c r="Q67" s="27" t="str">
        <x:v>未开始</x:v>
      </x:c>
      <x:c r="R67" s="39" t="n">
        <x:v>0</x:v>
      </x:c>
      <x:c r="S67" s="27" t="str">
        <x:v>无路径越界、凭据泄露和高危依赖</x:v>
      </x:c>
      <x:c r="T67" s="27" t="str"/>
    </x:row>
    <x:row r="68">
      <x:c r="A68" s="27" t="str">
        <x:v>M5-07</x:v>
      </x:c>
      <x:c r="B68" s="27" t="str">
        <x:v>M5</x:v>
      </x:c>
      <x:c r="C68" s="27" t="str">
        <x:v>可靠性</x:v>
      </x:c>
      <x:c r="D68" s="27" t="str">
        <x:v>执行故障注入与恢复演练</x:v>
      </x:c>
      <x:c r="E68" s="27" t="str">
        <x:v>恢复测试报告</x:v>
      </x:c>
      <x:c r="F68" s="27" t="str">
        <x:v>测试工程师</x:v>
      </x:c>
      <x:c r="G68" s="27" t="str">
        <x:v>核心开发</x:v>
      </x:c>
      <x:c r="H68" s="27" t="str">
        <x:v>P0</x:v>
      </x:c>
      <x:c r="I68" s="27" t="str">
        <x:v>M5-02</x:v>
      </x:c>
      <x:c r="J68" s="27" t="n">
        <x:v>84</x:v>
      </x:c>
      <x:c r="K68" s="27" t="n">
        <x:v>5</x:v>
      </x:c>
      <x:c r="L68" s="41" t="n">
        <x:v>1</x:v>
      </x:c>
      <x:c r="M68" s="37" t="n">
        <x:f>WORKDAY('执行看板'!$B$4,J68)</x:f>
        <x:v>46339</x:v>
      </x:c>
      <x:c r="N68" s="37" t="n">
        <x:f>WORKDAY(M68,K68-1)</x:f>
        <x:v>46345</x:v>
      </x:c>
      <x:c r="O68" s="41" t="n">
        <x:f>K68*L68</x:f>
        <x:v>5</x:v>
      </x:c>
      <x:c r="P68" s="27" t="str">
        <x:f>IF(Q68="已完成","绿色",IF(Q68="阻塞","红色",IF(Q68="延期","红色",IF(AND(TODAY()&gt;N68,R68&lt;1),"黄色",IF(Q68="进行中","蓝色","灰色")))))</x:f>
        <x:v>灰色</x:v>
      </x:c>
      <x:c r="Q68" s="27" t="str">
        <x:v>未开始</x:v>
      </x:c>
      <x:c r="R68" s="39" t="n">
        <x:v>0</x:v>
      </x:c>
      <x:c r="S68" s="27" t="str">
        <x:v>全部 P0 故障场景通过</x:v>
      </x:c>
      <x:c r="T68" s="27" t="str"/>
    </x:row>
    <x:row r="69">
      <x:c r="A69" s="27" t="str">
        <x:v>M5-08</x:v>
      </x:c>
      <x:c r="B69" s="27" t="str">
        <x:v>M5</x:v>
      </x:c>
      <x:c r="C69" s="27" t="str">
        <x:v>质量</x:v>
      </x:c>
      <x:c r="D69" s="27" t="str">
        <x:v>修复 S1/S2 与 P0 缺陷</x:v>
      </x:c>
      <x:c r="E69" s="27" t="str">
        <x:v>缺陷关闭清单</x:v>
      </x:c>
      <x:c r="F69" s="27" t="str">
        <x:v>核心开发</x:v>
      </x:c>
      <x:c r="G69" s="27" t="str">
        <x:v>UI开发,测试工程师</x:v>
      </x:c>
      <x:c r="H69" s="27" t="str">
        <x:v>P0</x:v>
      </x:c>
      <x:c r="I69" s="27" t="str">
        <x:v>M5-03,M5-04,M5-06,M5-07</x:v>
      </x:c>
      <x:c r="J69" s="27" t="n">
        <x:v>88</x:v>
      </x:c>
      <x:c r="K69" s="27" t="n">
        <x:v>6</x:v>
      </x:c>
      <x:c r="L69" s="41" t="n">
        <x:v>1.5</x:v>
      </x:c>
      <x:c r="M69" s="37" t="n">
        <x:f>WORKDAY('执行看板'!$B$4,J69)</x:f>
        <x:v>46345</x:v>
      </x:c>
      <x:c r="N69" s="37" t="n">
        <x:f>WORKDAY(M69,K69-1)</x:f>
        <x:v>46352</x:v>
      </x:c>
      <x:c r="O69" s="41" t="n">
        <x:f>K69*L69</x:f>
        <x:v>9</x:v>
      </x:c>
      <x:c r="P69" s="27" t="str">
        <x:f>IF(Q69="已完成","绿色",IF(Q69="阻塞","红色",IF(Q69="延期","红色",IF(AND(TODAY()&gt;N69,R69&lt;1),"黄色",IF(Q69="进行中","蓝色","灰色")))))</x:f>
        <x:v>灰色</x:v>
      </x:c>
      <x:c r="Q69" s="27" t="str">
        <x:v>未开始</x:v>
      </x:c>
      <x:c r="R69" s="39" t="n">
        <x:v>0</x:v>
      </x:c>
      <x:c r="S69" s="27" t="str">
        <x:v>无开放 S1/S2 和 P0 阻塞</x:v>
      </x:c>
      <x:c r="T69" s="27" t="str"/>
    </x:row>
    <x:row r="70">
      <x:c r="A70" s="27" t="str">
        <x:v>M5-09</x:v>
      </x:c>
      <x:c r="B70" s="27" t="str">
        <x:v>M5</x:v>
      </x:c>
      <x:c r="C70" s="27" t="str">
        <x:v>文档</x:v>
      </x:c>
      <x:c r="D70" s="27" t="str">
        <x:v>完成用户 README 与故障排查</x:v>
      </x:c>
      <x:c r="E70" s="27" t="str">
        <x:v>用户文档</x:v>
      </x:c>
      <x:c r="F70" s="27" t="str">
        <x:v>产品负责人</x:v>
      </x:c>
      <x:c r="G70" s="27" t="str">
        <x:v>核心开发</x:v>
      </x:c>
      <x:c r="H70" s="27" t="str">
        <x:v>P1</x:v>
      </x:c>
      <x:c r="I70" s="27" t="str">
        <x:v>M4-11</x:v>
      </x:c>
      <x:c r="J70" s="27" t="n">
        <x:v>78</x:v>
      </x:c>
      <x:c r="K70" s="27" t="n">
        <x:v>5</x:v>
      </x:c>
      <x:c r="L70" s="41" t="n">
        <x:v>0.6</x:v>
      </x:c>
      <x:c r="M70" s="37" t="n">
        <x:f>WORKDAY('执行看板'!$B$4,J70)</x:f>
        <x:v>46331</x:v>
      </x:c>
      <x:c r="N70" s="37" t="n">
        <x:f>WORKDAY(M70,K70-1)</x:f>
        <x:v>46337</x:v>
      </x:c>
      <x:c r="O70" s="41" t="n">
        <x:f>K70*L70</x:f>
        <x:v>3</x:v>
      </x:c>
      <x:c r="P70" s="27" t="str">
        <x:f>IF(Q70="已完成","绿色",IF(Q70="阻塞","红色",IF(Q70="延期","红色",IF(AND(TODAY()&gt;N70,R70&lt;1),"黄色",IF(Q70="进行中","蓝色","灰色")))))</x:f>
        <x:v>灰色</x:v>
      </x:c>
      <x:c r="Q70" s="27" t="str">
        <x:v>未开始</x:v>
      </x:c>
      <x:c r="R70" s="39" t="n">
        <x:v>0</x:v>
      </x:c>
      <x:c r="S70" s="27" t="str">
        <x:v>安装、使用、恢复和日志说明完整</x:v>
      </x:c>
      <x:c r="T70" s="27" t="str"/>
    </x:row>
    <x:row r="71">
      <x:c r="A71" s="27" t="str">
        <x:v>M5-10</x:v>
      </x:c>
      <x:c r="B71" s="27" t="str">
        <x:v>M5</x:v>
      </x:c>
      <x:c r="C71" s="27" t="str">
        <x:v>文档</x:v>
      </x:c>
      <x:c r="D71" s="27" t="str">
        <x:v>完成开发与维护文档校对</x:v>
      </x:c>
      <x:c r="E71" s="27" t="str">
        <x:v>开发文档基线</x:v>
      </x:c>
      <x:c r="F71" s="27" t="str">
        <x:v>技术负责人</x:v>
      </x:c>
      <x:c r="G71" s="27" t="str">
        <x:v>项目经理</x:v>
      </x:c>
      <x:c r="H71" s="27" t="str">
        <x:v>P1</x:v>
      </x:c>
      <x:c r="I71" s="27" t="str">
        <x:v>M5-08</x:v>
      </x:c>
      <x:c r="J71" s="27" t="n">
        <x:v>92</x:v>
      </x:c>
      <x:c r="K71" s="27" t="n">
        <x:v>3</x:v>
      </x:c>
      <x:c r="L71" s="41" t="n">
        <x:v>0.5</x:v>
      </x:c>
      <x:c r="M71" s="37" t="n">
        <x:f>WORKDAY('执行看板'!$B$4,J71)</x:f>
        <x:v>46351</x:v>
      </x:c>
      <x:c r="N71" s="37" t="n">
        <x:f>WORKDAY(M71,K71-1)</x:f>
        <x:v>46353</x:v>
      </x:c>
      <x:c r="O71" s="41" t="n">
        <x:f>K71*L71</x:f>
        <x:v>1.5</x:v>
      </x:c>
      <x:c r="P71" s="27" t="str">
        <x:f>IF(Q71="已完成","绿色",IF(Q71="阻塞","红色",IF(Q71="延期","红色",IF(AND(TODAY()&gt;N71,R71&lt;1),"黄色",IF(Q71="进行中","蓝色","灰色")))))</x:f>
        <x:v>灰色</x:v>
      </x:c>
      <x:c r="Q71" s="27" t="str">
        <x:v>未开始</x:v>
      </x:c>
      <x:c r="R71" s="39" t="n">
        <x:v>0</x:v>
      </x:c>
      <x:c r="S71" s="27" t="str">
        <x:v>代码与 SDS 无重大偏差</x:v>
      </x:c>
      <x:c r="T71" s="27" t="str"/>
    </x:row>
    <x:row r="72">
      <x:c r="A72" s="27" t="str">
        <x:v>M5-11</x:v>
      </x:c>
      <x:c r="B72" s="27" t="str">
        <x:v>M5</x:v>
      </x:c>
      <x:c r="C72" s="27" t="str">
        <x:v>验收</x:v>
      </x:c>
      <x:c r="D72" s="27" t="str">
        <x:v>执行 20 项 UAT</x:v>
      </x:c>
      <x:c r="E72" s="27" t="str">
        <x:v>UAT 签字记录</x:v>
      </x:c>
      <x:c r="F72" s="27" t="str">
        <x:v>产品负责人</x:v>
      </x:c>
      <x:c r="G72" s="27" t="str">
        <x:v>测试工程师</x:v>
      </x:c>
      <x:c r="H72" s="27" t="str">
        <x:v>P0</x:v>
      </x:c>
      <x:c r="I72" s="27" t="str">
        <x:v>M5-08,M5-09</x:v>
      </x:c>
      <x:c r="J72" s="27" t="n">
        <x:v>94</x:v>
      </x:c>
      <x:c r="K72" s="27" t="n">
        <x:v>4</x:v>
      </x:c>
      <x:c r="L72" s="41" t="n">
        <x:v>1</x:v>
      </x:c>
      <x:c r="M72" s="37" t="n">
        <x:f>WORKDAY('执行看板'!$B$4,J72)</x:f>
        <x:v>46353</x:v>
      </x:c>
      <x:c r="N72" s="37" t="n">
        <x:f>WORKDAY(M72,K72-1)</x:f>
        <x:v>46358</x:v>
      </x:c>
      <x:c r="O72" s="41" t="n">
        <x:f>K72*L72</x:f>
        <x:v>4</x:v>
      </x:c>
      <x:c r="P72" s="27" t="str">
        <x:f>IF(Q72="已完成","绿色",IF(Q72="阻塞","红色",IF(Q72="延期","红色",IF(AND(TODAY()&gt;N72,R72&lt;1),"黄色",IF(Q72="进行中","蓝色","灰色")))))</x:f>
        <x:v>灰色</x:v>
      </x:c>
      <x:c r="Q72" s="27" t="str">
        <x:v>未开始</x:v>
      </x:c>
      <x:c r="R72" s="39" t="n">
        <x:v>0</x:v>
      </x:c>
      <x:c r="S72" s="27" t="str">
        <x:v>20 项 UAT 全部通过</x:v>
      </x:c>
      <x:c r="T72" s="27" t="str"/>
    </x:row>
    <x:row r="73">
      <x:c r="A73" s="27" t="str">
        <x:v>M5-12</x:v>
      </x:c>
      <x:c r="B73" s="27" t="str">
        <x:v>M5</x:v>
      </x:c>
      <x:c r="C73" s="27" t="str">
        <x:v>项目管理</x:v>
      </x:c>
      <x:c r="D73" s="27" t="str">
        <x:v>M5 发布候选评审</x:v>
      </x:c>
      <x:c r="E73" s="27" t="str">
        <x:v>RC 评审记录</x:v>
      </x:c>
      <x:c r="F73" s="27" t="str">
        <x:v>项目经理</x:v>
      </x:c>
      <x:c r="G73" s="27" t="str">
        <x:v>全体</x:v>
      </x:c>
      <x:c r="H73" s="27" t="str">
        <x:v>P0</x:v>
      </x:c>
      <x:c r="I73" s="27" t="str">
        <x:v>M5-05,M5-10,M5-11</x:v>
      </x:c>
      <x:c r="J73" s="27" t="n">
        <x:v>98</x:v>
      </x:c>
      <x:c r="K73" s="27" t="n">
        <x:v>1</x:v>
      </x:c>
      <x:c r="L73" s="41" t="n">
        <x:v>0.5</x:v>
      </x:c>
      <x:c r="M73" s="37" t="n">
        <x:f>WORKDAY('执行看板'!$B$4,J73)</x:f>
        <x:v>46359</x:v>
      </x:c>
      <x:c r="N73" s="37" t="n">
        <x:f>WORKDAY(M73,K73-1)</x:f>
        <x:v>46359</x:v>
      </x:c>
      <x:c r="O73" s="41" t="n">
        <x:f>K73*L73</x:f>
        <x:v>0.5</x:v>
      </x:c>
      <x:c r="P73" s="27" t="str">
        <x:f>IF(Q73="已完成","绿色",IF(Q73="阻塞","红色",IF(Q73="延期","红色",IF(AND(TODAY()&gt;N73,R73&lt;1),"黄色",IF(Q73="进行中","蓝色","灰色")))))</x:f>
        <x:v>灰色</x:v>
      </x:c>
      <x:c r="Q73" s="27" t="str">
        <x:v>未开始</x:v>
      </x:c>
      <x:c r="R73" s="39" t="n">
        <x:v>0</x:v>
      </x:c>
      <x:c r="S73" s="27" t="str">
        <x:v>满足 RC 质量门禁</x:v>
      </x:c>
      <x:c r="T73" s="27" t="str"/>
    </x:row>
    <x:row r="74">
      <x:c r="A74" s="27" t="str">
        <x:v>M6-01</x:v>
      </x:c>
      <x:c r="B74" s="27" t="str">
        <x:v>M6</x:v>
      </x:c>
      <x:c r="C74" s="27" t="str">
        <x:v>发布</x:v>
      </x:c>
      <x:c r="D74" s="27" t="str">
        <x:v>冻结版本号与变更日志</x:v>
      </x:c>
      <x:c r="E74" s="27" t="str">
        <x:v>CHANGELOG/版本标签</x:v>
      </x:c>
      <x:c r="F74" s="27" t="str">
        <x:v>发布工程师</x:v>
      </x:c>
      <x:c r="G74" s="27" t="str">
        <x:v>项目经理</x:v>
      </x:c>
      <x:c r="H74" s="27" t="str">
        <x:v>P0</x:v>
      </x:c>
      <x:c r="I74" s="27" t="str">
        <x:v>M5-12</x:v>
      </x:c>
      <x:c r="J74" s="27" t="n">
        <x:v>99</x:v>
      </x:c>
      <x:c r="K74" s="27" t="n">
        <x:v>1</x:v>
      </x:c>
      <x:c r="L74" s="41" t="n">
        <x:v>0.5</x:v>
      </x:c>
      <x:c r="M74" s="37" t="n">
        <x:f>WORKDAY('执行看板'!$B$4,J74)</x:f>
        <x:v>46360</x:v>
      </x:c>
      <x:c r="N74" s="37" t="n">
        <x:f>WORKDAY(M74,K74-1)</x:f>
        <x:v>46360</x:v>
      </x:c>
      <x:c r="O74" s="41" t="n">
        <x:f>K74*L74</x:f>
        <x:v>0.5</x:v>
      </x:c>
      <x:c r="P74" s="27" t="str">
        <x:f>IF(Q74="已完成","绿色",IF(Q74="阻塞","红色",IF(Q74="延期","红色",IF(AND(TODAY()&gt;N74,R74&lt;1),"黄色",IF(Q74="进行中","蓝色","灰色")))))</x:f>
        <x:v>灰色</x:v>
      </x:c>
      <x:c r="Q74" s="27" t="str">
        <x:v>未开始</x:v>
      </x:c>
      <x:c r="R74" s="39" t="n">
        <x:v>0</x:v>
      </x:c>
      <x:c r="S74" s="27" t="str">
        <x:v>版本号、文档和构建元数据一致</x:v>
      </x:c>
      <x:c r="T74" s="27" t="str"/>
    </x:row>
    <x:row r="75">
      <x:c r="A75" s="27" t="str">
        <x:v>M6-02</x:v>
      </x:c>
      <x:c r="B75" s="27" t="str">
        <x:v>M6</x:v>
      </x:c>
      <x:c r="C75" s="27" t="str">
        <x:v>发布</x:v>
      </x:c>
      <x:c r="D75" s="27" t="str">
        <x:v>构建 Python wheel</x:v>
      </x:c>
      <x:c r="E75" s="27" t="str">
        <x:v>wheel 包</x:v>
      </x:c>
      <x:c r="F75" s="27" t="str">
        <x:v>发布工程师</x:v>
      </x:c>
      <x:c r="G75" s="27" t="str">
        <x:v>核心开发</x:v>
      </x:c>
      <x:c r="H75" s="27" t="str">
        <x:v>P0</x:v>
      </x:c>
      <x:c r="I75" s="27" t="str">
        <x:v>M6-01</x:v>
      </x:c>
      <x:c r="J75" s="27" t="n">
        <x:v>99</x:v>
      </x:c>
      <x:c r="K75" s="27" t="n">
        <x:v>2</x:v>
      </x:c>
      <x:c r="L75" s="41" t="n">
        <x:v>0.8</x:v>
      </x:c>
      <x:c r="M75" s="37" t="n">
        <x:f>WORKDAY('执行看板'!$B$4,J75)</x:f>
        <x:v>46360</x:v>
      </x:c>
      <x:c r="N75" s="37" t="n">
        <x:f>WORKDAY(M75,K75-1)</x:f>
        <x:v>46363</x:v>
      </x:c>
      <x:c r="O75" s="41" t="n">
        <x:f>K75*L75</x:f>
        <x:v>1.6</x:v>
      </x:c>
      <x:c r="P75" s="27" t="str">
        <x:f>IF(Q75="已完成","绿色",IF(Q75="阻塞","红色",IF(Q75="延期","红色",IF(AND(TODAY()&gt;N75,R75&lt;1),"黄色",IF(Q75="进行中","蓝色","灰色")))))</x:f>
        <x:v>灰色</x:v>
      </x:c>
      <x:c r="Q75" s="27" t="str">
        <x:v>未开始</x:v>
      </x:c>
      <x:c r="R75" s="39" t="n">
        <x:v>0</x:v>
      </x:c>
      <x:c r="S75" s="27" t="str">
        <x:v>干净环境可安装并运行</x:v>
      </x:c>
      <x:c r="T75" s="27" t="str"/>
    </x:row>
    <x:row r="76">
      <x:c r="A76" s="27" t="str">
        <x:v>M6-03</x:v>
      </x:c>
      <x:c r="B76" s="27" t="str">
        <x:v>M6</x:v>
      </x:c>
      <x:c r="C76" s="27" t="str">
        <x:v>发布</x:v>
      </x:c>
      <x:c r="D76" s="27" t="str">
        <x:v>构建 Windows EXE</x:v>
      </x:c>
      <x:c r="E76" s="27" t="str">
        <x:v>Windows EXE</x:v>
      </x:c>
      <x:c r="F76" s="27" t="str">
        <x:v>发布工程师</x:v>
      </x:c>
      <x:c r="G76" s="27" t="str">
        <x:v>核心开发</x:v>
      </x:c>
      <x:c r="H76" s="27" t="str">
        <x:v>P0</x:v>
      </x:c>
      <x:c r="I76" s="27" t="str">
        <x:v>M6-01</x:v>
      </x:c>
      <x:c r="J76" s="27" t="n">
        <x:v>99</x:v>
      </x:c>
      <x:c r="K76" s="27" t="n">
        <x:v>3</x:v>
      </x:c>
      <x:c r="L76" s="41" t="n">
        <x:v>1</x:v>
      </x:c>
      <x:c r="M76" s="37" t="n">
        <x:f>WORKDAY('执行看板'!$B$4,J76)</x:f>
        <x:v>46360</x:v>
      </x:c>
      <x:c r="N76" s="37" t="n">
        <x:f>WORKDAY(M76,K76-1)</x:f>
        <x:v>46364</x:v>
      </x:c>
      <x:c r="O76" s="41" t="n">
        <x:f>K76*L76</x:f>
        <x:v>3</x:v>
      </x:c>
      <x:c r="P76" s="27" t="str">
        <x:f>IF(Q76="已完成","绿色",IF(Q76="阻塞","红色",IF(Q76="延期","红色",IF(AND(TODAY()&gt;N76,R76&lt;1),"黄色",IF(Q76="进行中","蓝色","灰色")))))</x:f>
        <x:v>灰色</x:v>
      </x:c>
      <x:c r="Q76" s="27" t="str">
        <x:v>未开始</x:v>
      </x:c>
      <x:c r="R76" s="39" t="n">
        <x:v>0</x:v>
      </x:c>
      <x:c r="S76" s="27" t="str">
        <x:v>无需 Python，Git 检测正常</x:v>
      </x:c>
      <x:c r="T76" s="27" t="str"/>
    </x:row>
    <x:row r="77">
      <x:c r="A77" s="27" t="str">
        <x:v>M6-04</x:v>
      </x:c>
      <x:c r="B77" s="27" t="str">
        <x:v>M6</x:v>
      </x:c>
      <x:c r="C77" s="27" t="str">
        <x:v>发布</x:v>
      </x:c>
      <x:c r="D77" s="27" t="str">
        <x:v>执行安装包冒烟测试</x:v>
      </x:c>
      <x:c r="E77" s="27" t="str">
        <x:v>构建验证报告</x:v>
      </x:c>
      <x:c r="F77" s="27" t="str">
        <x:v>测试工程师</x:v>
      </x:c>
      <x:c r="G77" s="27" t="str">
        <x:v>发布工程师</x:v>
      </x:c>
      <x:c r="H77" s="27" t="str">
        <x:v>P0</x:v>
      </x:c>
      <x:c r="I77" s="27" t="str">
        <x:v>M6-02,M6-03</x:v>
      </x:c>
      <x:c r="J77" s="27" t="n">
        <x:v>102</x:v>
      </x:c>
      <x:c r="K77" s="27" t="n">
        <x:v>2</x:v>
      </x:c>
      <x:c r="L77" s="41" t="n">
        <x:v>1</x:v>
      </x:c>
      <x:c r="M77" s="37" t="n">
        <x:f>WORKDAY('执行看板'!$B$4,J77)</x:f>
        <x:v>46365</x:v>
      </x:c>
      <x:c r="N77" s="37" t="n">
        <x:f>WORKDAY(M77,K77-1)</x:f>
        <x:v>46366</x:v>
      </x:c>
      <x:c r="O77" s="41" t="n">
        <x:f>K77*L77</x:f>
        <x:v>2</x:v>
      </x:c>
      <x:c r="P77" s="27" t="str">
        <x:f>IF(Q77="已完成","绿色",IF(Q77="阻塞","红色",IF(Q77="延期","红色",IF(AND(TODAY()&gt;N77,R77&lt;1),"黄色",IF(Q77="进行中","蓝色","灰色")))))</x:f>
        <x:v>灰色</x:v>
      </x:c>
      <x:c r="Q77" s="27" t="str">
        <x:v>未开始</x:v>
      </x:c>
      <x:c r="R77" s="39" t="n">
        <x:v>0</x:v>
      </x:c>
      <x:c r="S77" s="27" t="str">
        <x:v>四个必测环境冒烟通过</x:v>
      </x:c>
      <x:c r="T77" s="27" t="str"/>
    </x:row>
    <x:row r="78">
      <x:c r="A78" s="27" t="str">
        <x:v>M6-05</x:v>
      </x:c>
      <x:c r="B78" s="27" t="str">
        <x:v>M6</x:v>
      </x:c>
      <x:c r="C78" s="27" t="str">
        <x:v>发布</x:v>
      </x:c>
      <x:c r="D78" s="27" t="str">
        <x:v>生成 SHA256 与 SBOM</x:v>
      </x:c>
      <x:c r="E78" s="27" t="str">
        <x:v>校验清单/SBOM</x:v>
      </x:c>
      <x:c r="F78" s="27" t="str">
        <x:v>发布工程师</x:v>
      </x:c>
      <x:c r="G78" s="27" t="str">
        <x:v>技术负责人</x:v>
      </x:c>
      <x:c r="H78" s="27" t="str">
        <x:v>P0</x:v>
      </x:c>
      <x:c r="I78" s="27" t="str">
        <x:v>M6-04</x:v>
      </x:c>
      <x:c r="J78" s="27" t="n">
        <x:v>103</x:v>
      </x:c>
      <x:c r="K78" s="27" t="n">
        <x:v>2</x:v>
      </x:c>
      <x:c r="L78" s="41" t="n">
        <x:v>0.8</x:v>
      </x:c>
      <x:c r="M78" s="37" t="n">
        <x:f>WORKDAY('执行看板'!$B$4,J78)</x:f>
        <x:v>46366</x:v>
      </x:c>
      <x:c r="N78" s="37" t="n">
        <x:f>WORKDAY(M78,K78-1)</x:f>
        <x:v>46367</x:v>
      </x:c>
      <x:c r="O78" s="41" t="n">
        <x:f>K78*L78</x:f>
        <x:v>1.6</x:v>
      </x:c>
      <x:c r="P78" s="27" t="str">
        <x:f>IF(Q78="已完成","绿色",IF(Q78="阻塞","红色",IF(Q78="延期","红色",IF(AND(TODAY()&gt;N78,R78&lt;1),"黄色",IF(Q78="进行中","蓝色","灰色")))))</x:f>
        <x:v>灰色</x:v>
      </x:c>
      <x:c r="Q78" s="27" t="str">
        <x:v>未开始</x:v>
      </x:c>
      <x:c r="R78" s="39" t="n">
        <x:v>0</x:v>
      </x:c>
      <x:c r="S78" s="27" t="str">
        <x:v>所有发布文件可验证</x:v>
      </x:c>
      <x:c r="T78" s="27" t="str"/>
    </x:row>
    <x:row r="79">
      <x:c r="A79" s="27" t="str">
        <x:v>M6-06</x:v>
      </x:c>
      <x:c r="B79" s="27" t="str">
        <x:v>M6</x:v>
      </x:c>
      <x:c r="C79" s="27" t="str">
        <x:v>发布</x:v>
      </x:c>
      <x:c r="D79" s="27" t="str">
        <x:v>准备 GitHub Release 草稿</x:v>
      </x:c>
      <x:c r="E79" s="27" t="str">
        <x:v>Release 草稿</x:v>
      </x:c>
      <x:c r="F79" s="27" t="str">
        <x:v>发布工程师</x:v>
      </x:c>
      <x:c r="G79" s="27" t="str">
        <x:v>产品负责人</x:v>
      </x:c>
      <x:c r="H79" s="27" t="str">
        <x:v>P1</x:v>
      </x:c>
      <x:c r="I79" s="27" t="str">
        <x:v>M6-05</x:v>
      </x:c>
      <x:c r="J79" s="27" t="n">
        <x:v>104</x:v>
      </x:c>
      <x:c r="K79" s="27" t="n">
        <x:v>1</x:v>
      </x:c>
      <x:c r="L79" s="41" t="n">
        <x:v>0.5</x:v>
      </x:c>
      <x:c r="M79" s="37" t="n">
        <x:f>WORKDAY('执行看板'!$B$4,J79)</x:f>
        <x:v>46367</x:v>
      </x:c>
      <x:c r="N79" s="37" t="n">
        <x:f>WORKDAY(M79,K79-1)</x:f>
        <x:v>46367</x:v>
      </x:c>
      <x:c r="O79" s="41" t="n">
        <x:f>K79*L79</x:f>
        <x:v>0.5</x:v>
      </x:c>
      <x:c r="P79" s="27" t="str">
        <x:f>IF(Q79="已完成","绿色",IF(Q79="阻塞","红色",IF(Q79="延期","红色",IF(AND(TODAY()&gt;N79,R79&lt;1),"黄色",IF(Q79="进行中","蓝色","灰色")))))</x:f>
        <x:v>灰色</x:v>
      </x:c>
      <x:c r="Q79" s="27" t="str">
        <x:v>未开始</x:v>
      </x:c>
      <x:c r="R79" s="39" t="n">
        <x:v>0</x:v>
      </x:c>
      <x:c r="S79" s="27" t="str">
        <x:v>附件、说明和升级提示完整</x:v>
      </x:c>
      <x:c r="T79" s="27" t="str"/>
    </x:row>
    <x:row r="80">
      <x:c r="A80" s="27" t="str">
        <x:v>M6-07</x:v>
      </x:c>
      <x:c r="B80" s="27" t="str">
        <x:v>M6</x:v>
      </x:c>
      <x:c r="C80" s="27" t="str">
        <x:v>发布</x:v>
      </x:c>
      <x:c r="D80" s="27" t="str">
        <x:v>执行发布与下载验证</x:v>
      </x:c>
      <x:c r="E80" s="27" t="str">
        <x:v>正式 v1.1 Release</x:v>
      </x:c>
      <x:c r="F80" s="27" t="str">
        <x:v>发布工程师</x:v>
      </x:c>
      <x:c r="G80" s="27" t="str">
        <x:v>测试工程师</x:v>
      </x:c>
      <x:c r="H80" s="27" t="str">
        <x:v>P0</x:v>
      </x:c>
      <x:c r="I80" s="27" t="str">
        <x:v>M6-06</x:v>
      </x:c>
      <x:c r="J80" s="27" t="n">
        <x:v>105</x:v>
      </x:c>
      <x:c r="K80" s="27" t="n">
        <x:v>1</x:v>
      </x:c>
      <x:c r="L80" s="41" t="n">
        <x:v>0.8</x:v>
      </x:c>
      <x:c r="M80" s="37" t="n">
        <x:f>WORKDAY('执行看板'!$B$4,J80)</x:f>
        <x:v>46370</x:v>
      </x:c>
      <x:c r="N80" s="37" t="n">
        <x:f>WORKDAY(M80,K80-1)</x:f>
        <x:v>46370</x:v>
      </x:c>
      <x:c r="O80" s="41" t="n">
        <x:f>K80*L80</x:f>
        <x:v>0.8</x:v>
      </x:c>
      <x:c r="P80" s="27" t="str">
        <x:f>IF(Q80="已完成","绿色",IF(Q80="阻塞","红色",IF(Q80="延期","红色",IF(AND(TODAY()&gt;N80,R80&lt;1),"黄色",IF(Q80="进行中","蓝色","灰色")))))</x:f>
        <x:v>灰色</x:v>
      </x:c>
      <x:c r="Q80" s="27" t="str">
        <x:v>未开始</x:v>
      </x:c>
      <x:c r="R80" s="39" t="n">
        <x:v>0</x:v>
      </x:c>
      <x:c r="S80" s="27" t="str">
        <x:v>公开下载、校验和安装正常</x:v>
      </x:c>
      <x:c r="T80" s="27" t="str"/>
    </x:row>
    <x:row r="81">
      <x:c r="A81" s="27" t="str">
        <x:v>M6-08</x:v>
      </x:c>
      <x:c r="B81" s="27" t="str">
        <x:v>M6</x:v>
      </x:c>
      <x:c r="C81" s="27" t="str">
        <x:v>回滚</x:v>
      </x:c>
      <x:c r="D81" s="27" t="str">
        <x:v>验证回滚与撤回流程</x:v>
      </x:c>
      <x:c r="E81" s="27" t="str">
        <x:v>回滚演练记录</x:v>
      </x:c>
      <x:c r="F81" s="27" t="str">
        <x:v>发布工程师</x:v>
      </x:c>
      <x:c r="G81" s="27" t="str">
        <x:v>技术负责人</x:v>
      </x:c>
      <x:c r="H81" s="27" t="str">
        <x:v>P0</x:v>
      </x:c>
      <x:c r="I81" s="27" t="str">
        <x:v>M6-07</x:v>
      </x:c>
      <x:c r="J81" s="27" t="n">
        <x:v>105</x:v>
      </x:c>
      <x:c r="K81" s="27" t="n">
        <x:v>1</x:v>
      </x:c>
      <x:c r="L81" s="41" t="n">
        <x:v>0.6</x:v>
      </x:c>
      <x:c r="M81" s="37" t="n">
        <x:f>WORKDAY('执行看板'!$B$4,J81)</x:f>
        <x:v>46370</x:v>
      </x:c>
      <x:c r="N81" s="37" t="n">
        <x:f>WORKDAY(M81,K81-1)</x:f>
        <x:v>46370</x:v>
      </x:c>
      <x:c r="O81" s="41" t="n">
        <x:f>K81*L81</x:f>
        <x:v>0.6</x:v>
      </x:c>
      <x:c r="P81" s="27" t="str">
        <x:f>IF(Q81="已完成","绿色",IF(Q81="阻塞","红色",IF(Q81="延期","红色",IF(AND(TODAY()&gt;N81,R81&lt;1),"黄色",IF(Q81="进行中","蓝色","灰色")))))</x:f>
        <x:v>灰色</x:v>
      </x:c>
      <x:c r="Q81" s="27" t="str">
        <x:v>未开始</x:v>
      </x:c>
      <x:c r="R81" s="39" t="n">
        <x:v>0</x:v>
      </x:c>
      <x:c r="S81" s="27" t="str">
        <x:v>可撤回有问题附件并保留旧稳定版</x:v>
      </x:c>
      <x:c r="T81" s="27" t="str"/>
    </x:row>
    <x:row r="82">
      <x:c r="A82" s="27" t="str">
        <x:v>M6-09</x:v>
      </x:c>
      <x:c r="B82" s="27" t="str">
        <x:v>M6</x:v>
      </x:c>
      <x:c r="C82" s="27" t="str">
        <x:v>验收</x:v>
      </x:c>
      <x:c r="D82" s="27" t="str">
        <x:v>最终交付与签字</x:v>
      </x:c>
      <x:c r="E82" s="27" t="str">
        <x:v>项目验收记录</x:v>
      </x:c>
      <x:c r="F82" s="27" t="str">
        <x:v>项目经理</x:v>
      </x:c>
      <x:c r="G82" s="27" t="str">
        <x:v>产品负责人,技术负责人,测试负责人</x:v>
      </x:c>
      <x:c r="H82" s="27" t="str">
        <x:v>P0</x:v>
      </x:c>
      <x:c r="I82" s="27" t="str">
        <x:v>M6-07,M6-08</x:v>
      </x:c>
      <x:c r="J82" s="27" t="n">
        <x:v>106</x:v>
      </x:c>
      <x:c r="K82" s="27" t="n">
        <x:v>1</x:v>
      </x:c>
      <x:c r="L82" s="41" t="n">
        <x:v>0.5</x:v>
      </x:c>
      <x:c r="M82" s="37" t="n">
        <x:f>WORKDAY('执行看板'!$B$4,J82)</x:f>
        <x:v>46371</x:v>
      </x:c>
      <x:c r="N82" s="37" t="n">
        <x:f>WORKDAY(M82,K82-1)</x:f>
        <x:v>46371</x:v>
      </x:c>
      <x:c r="O82" s="41" t="n">
        <x:f>K82*L82</x:f>
        <x:v>0.5</x:v>
      </x:c>
      <x:c r="P82" s="27" t="str">
        <x:f>IF(Q82="已完成","绿色",IF(Q82="阻塞","红色",IF(Q82="延期","红色",IF(AND(TODAY()&gt;N82,R82&lt;1),"黄色",IF(Q82="进行中","蓝色","灰色")))))</x:f>
        <x:v>灰色</x:v>
      </x:c>
      <x:c r="Q82" s="27" t="str">
        <x:v>未开始</x:v>
      </x:c>
      <x:c r="R82" s="39" t="n">
        <x:v>0</x:v>
      </x:c>
      <x:c r="S82" s="27" t="str">
        <x:v>发布门禁和交付清单全部签字</x:v>
      </x:c>
      <x:c r="T82" s="27" t="str"/>
    </x:row>
    <x:row r="83">
      <x:c r="A83" s="27" t="str">
        <x:v>M6-10</x:v>
      </x:c>
      <x:c r="B83" s="27" t="str">
        <x:v>M6</x:v>
      </x:c>
      <x:c r="C83" s="27" t="str">
        <x:v>项目管理</x:v>
      </x:c>
      <x:c r="D83" s="27" t="str">
        <x:v>复盘与 v1.2 Backlog</x:v>
      </x:c>
      <x:c r="E83" s="27" t="str">
        <x:v>复盘记录/Backlog</x:v>
      </x:c>
      <x:c r="F83" s="27" t="str">
        <x:v>项目经理</x:v>
      </x:c>
      <x:c r="G83" s="27" t="str">
        <x:v>全体</x:v>
      </x:c>
      <x:c r="H83" s="27" t="str">
        <x:v>P2</x:v>
      </x:c>
      <x:c r="I83" s="27" t="str">
        <x:v>M6-09</x:v>
      </x:c>
      <x:c r="J83" s="27" t="n">
        <x:v>107</x:v>
      </x:c>
      <x:c r="K83" s="27" t="n">
        <x:v>1</x:v>
      </x:c>
      <x:c r="L83" s="41" t="n">
        <x:v>0.5</x:v>
      </x:c>
      <x:c r="M83" s="37" t="n">
        <x:f>WORKDAY('执行看板'!$B$4,J83)</x:f>
        <x:v>46372</x:v>
      </x:c>
      <x:c r="N83" s="37" t="n">
        <x:f>WORKDAY(M83,K83-1)</x:f>
        <x:v>46372</x:v>
      </x:c>
      <x:c r="O83" s="41" t="n">
        <x:f>K83*L83</x:f>
        <x:v>0.5</x:v>
      </x:c>
      <x:c r="P83" s="27" t="str">
        <x:f>IF(Q83="已完成","绿色",IF(Q83="阻塞","红色",IF(Q83="延期","红色",IF(AND(TODAY()&gt;N83,R83&lt;1),"黄色",IF(Q83="进行中","蓝色","灰色")))))</x:f>
        <x:v>灰色</x:v>
      </x:c>
      <x:c r="Q83" s="27" t="str">
        <x:v>未开始</x:v>
      </x:c>
      <x:c r="R83" s="39" t="n">
        <x:v>0</x:v>
      </x:c>
      <x:c r="S83" s="27" t="str">
        <x:v>问题、改进项和后续需求记录</x:v>
      </x:c>
      <x:c r="T83" s="27" t="str"/>
    </x:row>
  </x:sheetData>
  <x:conditionalFormatting sqref="P2:P83">
    <x:cfRule type="expression" dxfId="0" priority="1">
      <x:formula>P2="绿色"</x:formula>
    </x:cfRule>
    <x:cfRule type="expression" dxfId="1" priority="2">
      <x:formula>P2="蓝色"</x:formula>
    </x:cfRule>
    <x:cfRule type="expression" dxfId="2" priority="3">
      <x:formula>P2="黄色"</x:formula>
    </x:cfRule>
    <x:cfRule type="expression" dxfId="3" priority="4">
      <x:formula>P2="红色"</x:formula>
    </x:cfRule>
    <x:cfRule type="expression" dxfId="4" priority="5">
      <x:formula>P2="灰色"</x:formula>
    </x:cfRule>
  </x:conditionalFormatting>
  <x:conditionalFormatting sqref="Q2:Q83">
    <x:cfRule type="expression" dxfId="5" priority="6">
      <x:formula>Q2="已完成"</x:formula>
    </x:cfRule>
    <x:cfRule type="expression" dxfId="6" priority="7">
      <x:formula>Q2="进行中"</x:formula>
    </x:cfRule>
    <x:cfRule type="expression" dxfId="7" priority="8">
      <x:formula>Q2="阻塞"</x:formula>
    </x:cfRule>
    <x:cfRule type="expression" dxfId="8" priority="9">
      <x:formula>Q2="延期"</x:formula>
    </x:cfRule>
    <x:cfRule type="expression" dxfId="9" priority="10">
      <x:formula>Q2="取消"</x:formula>
    </x:cfRule>
  </x:conditionalFormatting>
  <x:conditionalFormatting sqref="R2:R83">
    <x:cfRule type="dataBar" priority="1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{1BE2329D-4DE3-5B80-050D-CD21BCBE24F1}</x14:id>
        </x:ext>
      </x:extLst>
    </x:cfRule>
  </x:conditionalFormatting>
  <x:dataValidations count="3">
    <x:dataValidation type="list" sqref="Q2:Q83">
      <x:formula1>"未开始,进行中,已完成,阻塞,延期,取消"</x:formula1>
    </x:dataValidation>
    <x:dataValidation type="list" sqref="H2:H83">
      <x:formula1>"P0,P1,P2"</x:formula1>
    </x:dataValidation>
    <x:dataValidation type="decimal" operator="between" sqref="R2:R83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4e80eaf448a4f2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1" id="{1BE2329D-4DE3-5B80-050D-CD21BCBE24F1}">
            <x14:dataBar gradient="1">
              <x14:cfvo type="min"/>
              <x14:cfvo type="max"/>
              <x14:fillColor rgb="FF5B9BD5"/>
            </x14:dataBar>
          </x14:cfRule>
          <xm:sqref>R2:R83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13" hidden="0" customWidth="1"/>
    <x:col min="4" max="4" width="1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44" hidden="0" customWidth="1"/>
    <x:col min="11" max="11" width="12" hidden="0" customWidth="1"/>
  </x:cols>
  <x:sheetData>
    <x:row r="1">
      <x:c r="A1" s="32" t="str">
        <x:v>里程碑</x:v>
      </x:c>
      <x:c r="B1" s="32" t="str">
        <x:v>阶段名称</x:v>
      </x:c>
      <x:c r="C1" s="32" t="str">
        <x:v>计划开始</x:v>
      </x:c>
      <x:c r="D1" s="32" t="str">
        <x:v>计划完成</x:v>
      </x:c>
      <x:c r="E1" s="32" t="str">
        <x:v>阶段工期</x:v>
      </x:c>
      <x:c r="F1" s="32" t="str">
        <x:v>计划人日</x:v>
      </x:c>
      <x:c r="G1" s="32" t="str">
        <x:v>任务数</x:v>
      </x:c>
      <x:c r="H1" s="32" t="str">
        <x:v>已完成</x:v>
      </x:c>
      <x:c r="I1" s="32" t="str">
        <x:v>完成度</x:v>
      </x:c>
      <x:c r="J1" s="32" t="str">
        <x:v>退出条件</x:v>
      </x:c>
      <x:c r="K1" s="32" t="str">
        <x:v>状态</x:v>
      </x:c>
    </x:row>
    <x:row r="2">
      <x:c r="A2" s="27" t="str">
        <x:v>M0</x:v>
      </x:c>
      <x:c r="B2" s="27" t="str">
        <x:v>项目基线与工程启动</x:v>
      </x:c>
      <x:c r="C2" s="37" t="n">
        <x:f>MINIFS('WBS任务'!$M$2:$M$83,'WBS任务'!$B$2:$B$83,A2)</x:f>
        <x:v>46223</x:v>
      </x:c>
      <x:c r="D2" s="37" t="n">
        <x:f>MAXIFS('WBS任务'!$N$2:$N$83,'WBS任务'!$B$2:$B$83,A2)</x:f>
        <x:v>46226</x:v>
      </x:c>
      <x:c r="E2" s="27" t="n">
        <x:f>NETWORKDAYS(C2,D2)</x:f>
        <x:v>4</x:v>
      </x:c>
      <x:c r="F2" s="27" t="n">
        <x:f>SUMIFS('WBS任务'!$O$2:$O$83,'WBS任务'!$B$2:$B$83,A2)</x:f>
        <x:v>9.2</x:v>
      </x:c>
      <x:c r="G2" s="27" t="n">
        <x:f>COUNTIF('WBS任务'!$B$2:$B$83,A2)</x:f>
        <x:v>8</x:v>
      </x:c>
      <x:c r="H2" s="27" t="n">
        <x:f>COUNTIFS('WBS任务'!$B$2:$B$83,A2,'WBS任务'!$Q$2:$Q$83,"已完成")</x:f>
        <x:v>0</x:v>
      </x:c>
      <x:c r="I2" s="43" t="n">
        <x:f>IFERROR(SUMIFS('WBS任务'!$R$2:$R$83,'WBS任务'!$B$2:$B$83,A2)/G2,0)</x:f>
        <x:v>0</x:v>
      </x:c>
      <x:c r="J2" s="27" t="str">
        <x:v>仓库、包骨架、CI、fixture 和评审完成</x:v>
      </x:c>
      <x:c r="K2" s="27" t="str">
        <x:f>IF(I2=1,"已完成",IF(COUNTIFS('WBS任务'!$B$2:$B$83,A2,'WBS任务'!$Q$2:$Q$83,"阻塞")&gt;0,"阻塞",IF(TODAY()&gt;D2,"延期",IF(TODAY()&gt;=C2,"进行中","未开始"))))</x:f>
        <x:v>未开始</x:v>
      </x:c>
    </x:row>
    <x:row r="3">
      <x:c r="A3" s="27" t="str">
        <x:v>M1</x:v>
      </x:c>
      <x:c r="B3" s="27" t="str">
        <x:v>架构与基础设施</x:v>
      </x:c>
      <x:c r="C3" s="37" t="n">
        <x:f>MINIFS('WBS任务'!$M$2:$M$83,'WBS任务'!$B$2:$B$83,A3)</x:f>
        <x:v>46227</x:v>
      </x:c>
      <x:c r="D3" s="37" t="n">
        <x:f>MAXIFS('WBS任务'!$N$2:$N$83,'WBS任务'!$B$2:$B$83,A3)</x:f>
        <x:v>46240</x:v>
      </x:c>
      <x:c r="E3" s="27" t="n">
        <x:f>NETWORKDAYS(C3,D3)</x:f>
        <x:v>10</x:v>
      </x:c>
      <x:c r="F3" s="27" t="n">
        <x:f>SUMIFS('WBS任务'!$O$2:$O$83,'WBS任务'!$B$2:$B$83,A3)</x:f>
        <x:v>26.299999999999997</x:v>
      </x:c>
      <x:c r="G3" s="27" t="n">
        <x:f>COUNTIF('WBS任务'!$B$2:$B$83,A3)</x:f>
        <x:v>11</x:v>
      </x:c>
      <x:c r="H3" s="27" t="n">
        <x:f>COUNTIFS('WBS任务'!$B$2:$B$83,A3,'WBS任务'!$Q$2:$Q$83,"已完成")</x:f>
        <x:v>0</x:v>
      </x:c>
      <x:c r="I3" s="43" t="n">
        <x:f>IFERROR(SUMIFS('WBS任务'!$R$2:$R$83,'WBS任务'!$B$2:$B$83,A3)/G3,0)</x:f>
        <x:v>0</x:v>
      </x:c>
      <x:c r="J3" s="27" t="str">
        <x:v>状态、日志、任务、配置和领域模型稳定</x:v>
      </x:c>
      <x:c r="K3" s="27" t="str">
        <x:f>IF(I3=1,"已完成",IF(COUNTIFS('WBS任务'!$B$2:$B$83,A3,'WBS任务'!$Q$2:$Q$83,"阻塞")&gt;0,"阻塞",IF(TODAY()&gt;D3,"延期",IF(TODAY()&gt;=C3,"进行中","未开始"))))</x:f>
        <x:v>未开始</x:v>
      </x:c>
    </x:row>
    <x:row r="4">
      <x:c r="A4" s="27" t="str">
        <x:v>M2</x:v>
      </x:c>
      <x:c r="B4" s="27" t="str">
        <x:v>目录、导航与选择</x:v>
      </x:c>
      <x:c r="C4" s="37" t="n">
        <x:f>MINIFS('WBS任务'!$M$2:$M$83,'WBS任务'!$B$2:$B$83,A4)</x:f>
        <x:v>46241</x:v>
      </x:c>
      <x:c r="D4" s="37" t="n">
        <x:f>MAXIFS('WBS任务'!$N$2:$N$83,'WBS任务'!$B$2:$B$83,A4)</x:f>
        <x:v>46267</x:v>
      </x:c>
      <x:c r="E4" s="27" t="n">
        <x:f>NETWORKDAYS(C4,D4)</x:f>
        <x:v>19</x:v>
      </x:c>
      <x:c r="F4" s="27" t="n">
        <x:f>SUMIFS('WBS任务'!$O$2:$O$83,'WBS任务'!$B$2:$B$83,A4)</x:f>
        <x:v>44.5</x:v>
      </x:c>
      <x:c r="G4" s="27" t="n">
        <x:f>COUNTIF('WBS任务'!$B$2:$B$83,A4)</x:f>
        <x:v>15</x:v>
      </x:c>
      <x:c r="H4" s="27" t="n">
        <x:f>COUNTIFS('WBS任务'!$B$2:$B$83,A4,'WBS任务'!$Q$2:$Q$83,"已完成")</x:f>
        <x:v>0</x:v>
      </x:c>
      <x:c r="I4" s="43" t="n">
        <x:f>IFERROR(SUMIFS('WBS任务'!$R$2:$R$83,'WBS任务'!$B$2:$B$83,A4)/G4,0)</x:f>
        <x:v>0</x:v>
      </x:c>
      <x:c r="J4" s="27" t="str">
        <x:v>可浏览、搜索、选择并迁移旧状态</x:v>
      </x:c>
      <x:c r="K4" s="27" t="str">
        <x:f>IF(I4=1,"已完成",IF(COUNTIFS('WBS任务'!$B$2:$B$83,A4,'WBS任务'!$Q$2:$Q$83,"阻塞")&gt;0,"阻塞",IF(TODAY()&gt;D4,"延期",IF(TODAY()&gt;=C4,"进行中","未开始"))))</x:f>
        <x:v>未开始</x:v>
      </x:c>
    </x:row>
    <x:row r="5">
      <x:c r="A5" s="27" t="str">
        <x:v>M3</x:v>
      </x:c>
      <x:c r="B5" s="27" t="str">
        <x:v>下载、合并与校验</x:v>
      </x:c>
      <x:c r="C5" s="37" t="n">
        <x:f>MINIFS('WBS任务'!$M$2:$M$83,'WBS任务'!$B$2:$B$83,A5)</x:f>
        <x:v>46268</x:v>
      </x:c>
      <x:c r="D5" s="37" t="n">
        <x:f>MAXIFS('WBS任务'!$N$2:$N$83,'WBS任务'!$B$2:$B$83,A5)</x:f>
        <x:v>46304</x:v>
      </x:c>
      <x:c r="E5" s="27" t="n">
        <x:f>NETWORKDAYS(C5,D5)</x:f>
        <x:v>27</x:v>
      </x:c>
      <x:c r="F5" s="27" t="n">
        <x:f>SUMIFS('WBS任务'!$O$2:$O$83,'WBS任务'!$B$2:$B$83,A5)</x:f>
        <x:v>52.9</x:v>
      </x:c>
      <x:c r="G5" s="27" t="n">
        <x:f>COUNTIF('WBS任务'!$B$2:$B$83,A5)</x:f>
        <x:v>15</x:v>
      </x:c>
      <x:c r="H5" s="27" t="n">
        <x:f>COUNTIFS('WBS任务'!$B$2:$B$83,A5,'WBS任务'!$Q$2:$Q$83,"已完成")</x:f>
        <x:v>0</x:v>
      </x:c>
      <x:c r="I5" s="43" t="n">
        <x:f>IFERROR(SUMIFS('WBS任务'!$R$2:$R$83,'WBS任务'!$B$2:$B$83,A5)/G5,0)</x:f>
        <x:v>0</x:v>
      </x:c>
      <x:c r="J5" s="27" t="str">
        <x:v>普通/分卷教材安全下载与恢复</x:v>
      </x:c>
      <x:c r="K5" s="27" t="str">
        <x:f>IF(I5=1,"已完成",IF(COUNTIFS('WBS任务'!$B$2:$B$83,A5,'WBS任务'!$Q$2:$Q$83,"阻塞")&gt;0,"阻塞",IF(TODAY()&gt;D5,"延期",IF(TODAY()&gt;=C5,"进行中","未开始"))))</x:f>
        <x:v>未开始</x:v>
      </x:c>
    </x:row>
    <x:row r="6">
      <x:c r="A6" s="27" t="str">
        <x:v>M4</x:v>
      </x:c>
      <x:c r="B6" s="27" t="str">
        <x:v>日志、更新、帮助与文件操作</x:v>
      </x:c>
      <x:c r="C6" s="37" t="n">
        <x:f>MINIFS('WBS任务'!$M$2:$M$83,'WBS任务'!$B$2:$B$83,A6)</x:f>
        <x:v>46307</x:v>
      </x:c>
      <x:c r="D6" s="37" t="n">
        <x:f>MAXIFS('WBS任务'!$N$2:$N$83,'WBS任务'!$B$2:$B$83,A6)</x:f>
        <x:v>46325</x:v>
      </x:c>
      <x:c r="E6" s="27" t="n">
        <x:f>NETWORKDAYS(C6,D6)</x:f>
        <x:v>15</x:v>
      </x:c>
      <x:c r="F6" s="27" t="n">
        <x:f>SUMIFS('WBS任务'!$O$2:$O$83,'WBS任务'!$B$2:$B$83,A6)</x:f>
        <x:v>32.300000000000004</x:v>
      </x:c>
      <x:c r="G6" s="27" t="n">
        <x:f>COUNTIF('WBS任务'!$B$2:$B$83,A6)</x:f>
        <x:v>11</x:v>
      </x:c>
      <x:c r="H6" s="27" t="n">
        <x:f>COUNTIFS('WBS任务'!$B$2:$B$83,A6,'WBS任务'!$Q$2:$Q$83,"已完成")</x:f>
        <x:v>0</x:v>
      </x:c>
      <x:c r="I6" s="43" t="n">
        <x:f>IFERROR(SUMIFS('WBS任务'!$R$2:$R$83,'WBS任务'!$B$2:$B$83,A6)/G6,0)</x:f>
        <x:v>0</x:v>
      </x:c>
      <x:c r="J6" s="27" t="str">
        <x:v>完整用户功能可演示</x:v>
      </x:c>
      <x:c r="K6" s="27" t="str">
        <x:f>IF(I6=1,"已完成",IF(COUNTIFS('WBS任务'!$B$2:$B$83,A6,'WBS任务'!$Q$2:$Q$83,"阻塞")&gt;0,"阻塞",IF(TODAY()&gt;D6,"延期",IF(TODAY()&gt;=C6,"进行中","未开始"))))</x:f>
        <x:v>未开始</x:v>
      </x:c>
    </x:row>
    <x:row r="7">
      <x:c r="A7" s="27" t="str">
        <x:v>M5</x:v>
      </x:c>
      <x:c r="B7" s="27" t="str">
        <x:v>质量加固与验收</x:v>
      </x:c>
      <x:c r="C7" s="37" t="n">
        <x:f>MINIFS('WBS任务'!$M$2:$M$83,'WBS任务'!$B$2:$B$83,A7)</x:f>
        <x:v>46328</x:v>
      </x:c>
      <x:c r="D7" s="37" t="n">
        <x:f>MAXIFS('WBS任务'!$N$2:$N$83,'WBS任务'!$B$2:$B$83,A7)</x:f>
        <x:v>46359</x:v>
      </x:c>
      <x:c r="E7" s="27" t="n">
        <x:f>NETWORKDAYS(C7,D7)</x:f>
        <x:v>24</x:v>
      </x:c>
      <x:c r="F7" s="27" t="n">
        <x:f>SUMIFS('WBS任务'!$O$2:$O$83,'WBS任务'!$B$2:$B$83,A7)</x:f>
        <x:v>50.4</x:v>
      </x:c>
      <x:c r="G7" s="27" t="n">
        <x:f>COUNTIF('WBS任务'!$B$2:$B$83,A7)</x:f>
        <x:v>12</x:v>
      </x:c>
      <x:c r="H7" s="27" t="n">
        <x:f>COUNTIFS('WBS任务'!$B$2:$B$83,A7,'WBS任务'!$Q$2:$Q$83,"已完成")</x:f>
        <x:v>0</x:v>
      </x:c>
      <x:c r="I7" s="43" t="n">
        <x:f>IFERROR(SUMIFS('WBS任务'!$R$2:$R$83,'WBS任务'!$B$2:$B$83,A7)/G7,0)</x:f>
        <x:v>0</x:v>
      </x:c>
      <x:c r="J7" s="27" t="str">
        <x:v>P0 测试和 UAT 通过，RC 可发布</x:v>
      </x:c>
      <x:c r="K7" s="27" t="str">
        <x:f>IF(I7=1,"已完成",IF(COUNTIFS('WBS任务'!$B$2:$B$83,A7,'WBS任务'!$Q$2:$Q$83,"阻塞")&gt;0,"阻塞",IF(TODAY()&gt;D7,"延期",IF(TODAY()&gt;=C7,"进行中","未开始"))))</x:f>
        <x:v>未开始</x:v>
      </x:c>
    </x:row>
    <x:row r="8">
      <x:c r="A8" s="27" t="str">
        <x:v>M6</x:v>
      </x:c>
      <x:c r="B8" s="27" t="str">
        <x:v>打包、发布与交付</x:v>
      </x:c>
      <x:c r="C8" s="37" t="n">
        <x:f>MINIFS('WBS任务'!$M$2:$M$83,'WBS任务'!$B$2:$B$83,A8)</x:f>
        <x:v>46360</x:v>
      </x:c>
      <x:c r="D8" s="37" t="n">
        <x:f>MAXIFS('WBS任务'!$N$2:$N$83,'WBS任务'!$B$2:$B$83,A8)</x:f>
        <x:v>46372</x:v>
      </x:c>
      <x:c r="E8" s="27" t="n">
        <x:f>NETWORKDAYS(C8,D8)</x:f>
        <x:v>9</x:v>
      </x:c>
      <x:c r="F8" s="27" t="n">
        <x:f>SUMIFS('WBS任务'!$O$2:$O$83,'WBS任务'!$B$2:$B$83,A8)</x:f>
        <x:v>11.6</x:v>
      </x:c>
      <x:c r="G8" s="27" t="n">
        <x:f>COUNTIF('WBS任务'!$B$2:$B$83,A8)</x:f>
        <x:v>10</x:v>
      </x:c>
      <x:c r="H8" s="27" t="n">
        <x:f>COUNTIFS('WBS任务'!$B$2:$B$83,A8,'WBS任务'!$Q$2:$Q$83,"已完成")</x:f>
        <x:v>0</x:v>
      </x:c>
      <x:c r="I8" s="43" t="n">
        <x:f>IFERROR(SUMIFS('WBS任务'!$R$2:$R$83,'WBS任务'!$B$2:$B$83,A8)/G8,0)</x:f>
        <x:v>0</x:v>
      </x:c>
      <x:c r="J8" s="27" t="str">
        <x:v>正式 Release、回滚验证和项目签字</x:v>
      </x:c>
      <x:c r="K8" s="27" t="str">
        <x:f>IF(I8=1,"已完成",IF(COUNTIFS('WBS任务'!$B$2:$B$83,A8,'WBS任务'!$Q$2:$Q$83,"阻塞")&gt;0,"阻塞",IF(TODAY()&gt;D8,"延期",IF(TODAY()&gt;=C8,"进行中","未开始"))))</x:f>
        <x:v>未开始</x:v>
      </x:c>
    </x:row>
  </x:sheetData>
  <x:conditionalFormatting sqref="I2:I8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{65E63F76-6C87-47A8-E030-5FF1BF2404BF}</x14:id>
        </x:ext>
      </x:extLst>
    </x:cfRule>
  </x:conditionalFormatting>
  <x:dataValidations count="1">
    <x:dataValidation type="list" sqref="K2:K8">
      <x:formula1>"未开始,进行中,已完成,阻塞,延期,取消"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aa174259fb4b4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5E63F76-6C87-47A8-E030-5FF1BF2404BF}">
            <x14:dataBar gradient="1">
              <x14:cfvo type="min"/>
              <x14:cfvo type="max"/>
              <x14:fillColor rgb="FF70AD47"/>
            </x14:dataBar>
          </x14:cfRule>
          <xm:sqref>I2:I8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42" hidden="0" customWidth="1"/>
    <x:col min="6" max="6" width="18" hidden="0" customWidth="1"/>
    <x:col min="7" max="7" width="30" hidden="0" customWidth="1"/>
  </x:cols>
  <x:sheetData>
    <x:row r="1">
      <x:c r="A1" s="32" t="str">
        <x:v>角色</x:v>
      </x:c>
      <x:c r="B1" s="32" t="str">
        <x:v>建议人数</x:v>
      </x:c>
      <x:c r="C1" s="32" t="str">
        <x:v>计划人日</x:v>
      </x:c>
      <x:c r="D1" s="32" t="str">
        <x:v>平均负载率</x:v>
      </x:c>
      <x:c r="E1" s="32" t="str">
        <x:v>主要职责</x:v>
      </x:c>
      <x:c r="F1" s="32" t="str">
        <x:v>高峰阶段</x:v>
      </x:c>
      <x:c r="G1" s="32" t="str">
        <x:v>备注</x:v>
      </x:c>
    </x:row>
    <x:row r="2">
      <x:c r="A2" s="27" t="str">
        <x:v>项目经理</x:v>
      </x:c>
      <x:c r="B2" s="27" t="n">
        <x:v>0.5</x:v>
      </x:c>
      <x:c r="C2" s="27" t="n">
        <x:f>SUMIFS('WBS任务'!$O$2:$O$83,'WBS任务'!$F$2:$F$83,A2)</x:f>
        <x:v>4.3</x:v>
      </x:c>
      <x:c r="D2" s="43" t="n">
        <x:f>IFERROR(C2/(B2*'执行看板'!$B$6),0)</x:f>
        <x:v>0.07962962962962962</x:v>
      </x:c>
      <x:c r="E2" s="27" t="str">
        <x:v>计划、风险、评审、交付</x:v>
      </x:c>
      <x:c r="F2" s="27" t="str">
        <x:v>M0/M5/M6</x:v>
      </x:c>
      <x:c r="G2" s="27" t="str">
        <x:v>可由产品负责人兼任部分职责</x:v>
      </x:c>
    </x:row>
    <x:row r="3">
      <x:c r="A3" s="27" t="str">
        <x:v>产品负责人</x:v>
      </x:c>
      <x:c r="B3" s="27" t="n">
        <x:v>0.4</x:v>
      </x:c>
      <x:c r="C3" s="27" t="n">
        <x:f>SUMIFS('WBS任务'!$O$2:$O$83,'WBS任务'!$F$2:$F$83,A3)</x:f>
        <x:v>7.5</x:v>
      </x:c>
      <x:c r="D3" s="43" t="n">
        <x:f>IFERROR(C3/(B3*'执行看板'!$B$6),0)</x:f>
        <x:v>0.1736111111111111</x:v>
      </x:c>
      <x:c r="E3" s="27" t="str">
        <x:v>需求、UAT、用户文档</x:v>
      </x:c>
      <x:c r="F3" s="27" t="str">
        <x:v>M0/M5/M6</x:v>
      </x:c>
      <x:c r="G3" s="27" t="str">
        <x:v>负责范围和验收决策</x:v>
      </x:c>
    </x:row>
    <x:row r="4">
      <x:c r="A4" s="27" t="str">
        <x:v>技术负责人</x:v>
      </x:c>
      <x:c r="B4" s="27" t="n">
        <x:v>0.5</x:v>
      </x:c>
      <x:c r="C4" s="27" t="n">
        <x:f>SUMIFS('WBS任务'!$O$2:$O$83,'WBS任务'!$F$2:$F$83,A4)</x:f>
        <x:v>2.6</x:v>
      </x:c>
      <x:c r="D4" s="43" t="n">
        <x:f>IFERROR(C4/(B4*'执行看板'!$B$6),0)</x:f>
        <x:v>0.04814814814814815</x:v>
      </x:c>
      <x:c r="E4" s="27" t="str">
        <x:v>架构、评审、安全和技术决策</x:v>
      </x:c>
      <x:c r="F4" s="27" t="str">
        <x:v>M1/M3/M5</x:v>
      </x:c>
      <x:c r="G4" s="27" t="str">
        <x:v>不可缺席关键门禁</x:v>
      </x:c>
    </x:row>
    <x:row r="5">
      <x:c r="A5" s="27" t="str">
        <x:v>核心开发</x:v>
      </x:c>
      <x:c r="B5" s="27" t="n">
        <x:v>1.5</x:v>
      </x:c>
      <x:c r="C5" s="27" t="n">
        <x:f>SUMIFS('WBS任务'!$O$2:$O$83,'WBS任务'!$F$2:$F$83,A5)</x:f>
        <x:v>110.60000000000001</x:v>
      </x:c>
      <x:c r="D5" s="43" t="n">
        <x:f>IFERROR(C5/(B5*'执行看板'!$B$6),0)</x:f>
        <x:v>0.6827160493827161</x:v>
      </x:c>
      <x:c r="E5" s="27" t="str">
        <x:v>状态、Git、目录、下载、校验、更新</x:v>
      </x:c>
      <x:c r="F5" s="27" t="str">
        <x:v>M1–M5</x:v>
      </x:c>
      <x:c r="G5" s="27" t="str">
        <x:v>建议至少两人交叉评审</x:v>
      </x:c>
    </x:row>
    <x:row r="6">
      <x:c r="A6" s="27" t="str">
        <x:v>UI开发</x:v>
      </x:c>
      <x:c r="B6" s="27" t="n">
        <x:v>1</x:v>
      </x:c>
      <x:c r="C6" s="27" t="n">
        <x:f>SUMIFS('WBS任务'!$O$2:$O$83,'WBS任务'!$F$2:$F$83,A6)</x:f>
        <x:v>42.4</x:v>
      </x:c>
      <x:c r="D6" s="43" t="n">
        <x:f>IFERROR(C6/(B6*'执行看板'!$B$6),0)</x:f>
        <x:v>0.3925925925925926</x:v>
      </x:c>
      <x:c r="E6" s="27" t="str">
        <x:v>Textual 页面、组件和交互</x:v>
      </x:c>
      <x:c r="F6" s="27" t="str">
        <x:v>M2–M4</x:v>
      </x:c>
      <x:c r="G6" s="27" t="str">
        <x:v>熟悉终端响应式布局</x:v>
      </x:c>
    </x:row>
    <x:row r="7">
      <x:c r="A7" s="27" t="str">
        <x:v>测试工程师</x:v>
      </x:c>
      <x:c r="B7" s="27" t="n">
        <x:v>1</x:v>
      </x:c>
      <x:c r="C7" s="27" t="n">
        <x:f>SUMIFS('WBS任务'!$O$2:$O$83,'WBS任务'!$F$2:$F$83,A7)</x:f>
        <x:v>48.00000000000001</x:v>
      </x:c>
      <x:c r="D7" s="43" t="n">
        <x:f>IFERROR(C7/(B7*'执行看板'!$B$6),0)</x:f>
        <x:v>0.44444444444444453</x:v>
      </x:c>
      <x:c r="E7" s="27" t="str">
        <x:v>自动化、集成、故障注入、UAT</x:v>
      </x:c>
      <x:c r="F7" s="27" t="str">
        <x:v>M3–M6</x:v>
      </x:c>
      <x:c r="G7" s="27" t="str">
        <x:v>从 M0 即参与 fixture</x:v>
      </x:c>
    </x:row>
    <x:row r="8">
      <x:c r="A8" s="27" t="str">
        <x:v>发布工程师</x:v>
      </x:c>
      <x:c r="B8" s="27" t="n">
        <x:v>0.4</x:v>
      </x:c>
      <x:c r="C8" s="27" t="n">
        <x:f>SUMIFS('WBS任务'!$O$2:$O$83,'WBS任务'!$F$2:$F$83,A8)</x:f>
        <x:v>11.8</x:v>
      </x:c>
      <x:c r="D8" s="43" t="n">
        <x:f>IFERROR(C8/(B8*'执行看板'!$B$6),0)</x:f>
        <x:v>0.27314814814814814</x:v>
      </x:c>
      <x:c r="E8" s="27" t="str">
        <x:v>CI、构建、签名、发布和回滚</x:v>
      </x:c>
      <x:c r="F8" s="27" t="str">
        <x:v>M0/M6</x:v>
      </x:c>
      <x:c r="G8" s="27" t="str">
        <x:v>可由核心开发兼任但需独立复核</x:v>
      </x:c>
    </x:row>
  </x:sheetData>
  <x:conditionalFormatting sqref="D2:D8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8525d5d4309423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38" hidden="0" customWidth="1"/>
    <x:col min="4" max="4" width="10" hidden="0" customWidth="1"/>
    <x:col min="5" max="5" width="10" hidden="0" customWidth="1"/>
    <x:col min="6" max="6" width="11" hidden="0" customWidth="1"/>
    <x:col min="7" max="7" width="11" hidden="0" customWidth="1"/>
    <x:col min="8" max="8" width="44" hidden="0" customWidth="1"/>
    <x:col min="9" max="9" width="34" hidden="0" customWidth="1"/>
    <x:col min="10" max="10" width="16" hidden="0" customWidth="1"/>
    <x:col min="11" max="11" width="12" hidden="0" customWidth="1"/>
    <x:col min="12" max="12" width="13" hidden="0" customWidth="1"/>
    <x:col min="13" max="13" width="24" hidden="0" customWidth="1"/>
  </x:cols>
  <x:sheetData>
    <x:row r="1">
      <x:c r="A1" s="32" t="str">
        <x:v>风险ID</x:v>
      </x:c>
      <x:c r="B1" s="32" t="str">
        <x:v>类别</x:v>
      </x:c>
      <x:c r="C1" s="32" t="str">
        <x:v>风险描述</x:v>
      </x:c>
      <x:c r="D1" s="32" t="str">
        <x:v>概率</x:v>
      </x:c>
      <x:c r="E1" s="32" t="str">
        <x:v>影响</x:v>
      </x:c>
      <x:c r="F1" s="32" t="str">
        <x:v>风险分值</x:v>
      </x:c>
      <x:c r="G1" s="32" t="str">
        <x:v>等级</x:v>
      </x:c>
      <x:c r="H1" s="32" t="str">
        <x:v>缓解措施</x:v>
      </x:c>
      <x:c r="I1" s="32" t="str">
        <x:v>触发条件</x:v>
      </x:c>
      <x:c r="J1" s="32" t="str">
        <x:v>责任角色</x:v>
      </x:c>
      <x:c r="K1" s="32" t="str">
        <x:v>状态</x:v>
      </x:c>
      <x:c r="L1" s="32" t="str">
        <x:v>复审日期</x:v>
      </x:c>
      <x:c r="M1" s="32" t="str">
        <x:v>备注</x:v>
      </x:c>
    </x:row>
    <x:row r="2">
      <x:c r="A2" s="27" t="str">
        <x:v>R-001</x:v>
      </x:c>
      <x:c r="B2" s="27" t="str">
        <x:v>技术</x:v>
      </x:c>
      <x:c r="C2" s="27" t="str">
        <x:v>GitHub 网络不稳定影响下载与测试</x:v>
      </x:c>
      <x:c r="D2" s="27" t="str">
        <x:v>中</x:v>
      </x:c>
      <x:c r="E2" s="27" t="str">
        <x:v>高</x:v>
      </x:c>
      <x:c r="F2" s="27" t="n">
        <x:f>IF(D2="低",1,IF(D2="中",2,3))*IF(E2="低",1,IF(E2="中",2,IF(E2="高",3,4)))</x:f>
        <x:v>6</x:v>
      </x:c>
      <x:c r="G2" s="27" t="str">
        <x:f>IF(F2&gt;=9,"红色",IF(F2&gt;=5,"黄色","绿色"))</x:f>
        <x:v>黄色</x:v>
      </x:c>
      <x:c r="H2" s="27" t="str">
        <x:v>有限重试、旧缓存可浏览、诊断清晰</x:v>
      </x:c>
      <x:c r="I2" s="27" t="str">
        <x:v>连续多次 fetch 超时</x:v>
      </x:c>
      <x:c r="J2" s="27" t="str">
        <x:v>核心开发</x:v>
      </x:c>
      <x:c r="K2" s="27" t="str">
        <x:v>开放</x:v>
      </x:c>
      <x:c r="L2" s="37" t="n">
        <x:v>46234</x:v>
      </x:c>
      <x:c r="M2" s="27" t="str"/>
    </x:row>
    <x:row r="3">
      <x:c r="A3" s="27" t="str">
        <x:v>R-002</x:v>
      </x:c>
      <x:c r="B3" s="27" t="str">
        <x:v>技术</x:v>
      </x:c>
      <x:c r="C3" s="27" t="str">
        <x:v>Windows 长路径或权限导致输出失败</x:v>
      </x:c>
      <x:c r="D3" s="27" t="str">
        <x:v>中</x:v>
      </x:c>
      <x:c r="E3" s="27" t="str">
        <x:v>高</x:v>
      </x:c>
      <x:c r="F3" s="27" t="n">
        <x:f>IF(D3="低",1,IF(D3="中",2,3))*IF(E3="低",1,IF(E3="中",2,IF(E3="高",3,4)))</x:f>
        <x:v>6</x:v>
      </x:c>
      <x:c r="G3" s="27" t="str">
        <x:f>IF(F3&gt;=9,"红色",IF(F3&gt;=5,"黄色","绿色"))</x:f>
        <x:v>黄色</x:v>
      </x:c>
      <x:c r="H3" s="27" t="str">
        <x:v>下载前路径/权限预检；文档提示</x:v>
      </x:c>
      <x:c r="I3" s="27" t="str">
        <x:v>路径接近限制或权限拒绝</x:v>
      </x:c>
      <x:c r="J3" s="27" t="str">
        <x:v>核心开发</x:v>
      </x:c>
      <x:c r="K3" s="27" t="str">
        <x:v>开放</x:v>
      </x:c>
      <x:c r="L3" s="37" t="n">
        <x:v>46249</x:v>
      </x:c>
      <x:c r="M3" s="27" t="str"/>
    </x:row>
    <x:row r="4">
      <x:c r="A4" s="27" t="str">
        <x:v>R-003</x:v>
      </x:c>
      <x:c r="B4" s="27" t="str">
        <x:v>完整性</x:v>
      </x:c>
      <x:c r="C4" s="27" t="str">
        <x:v>上游分卷结构变化导致错误合并</x:v>
      </x:c>
      <x:c r="D4" s="27" t="str">
        <x:v>中</x:v>
      </x:c>
      <x:c r="E4" s="27" t="str">
        <x:v>极高</x:v>
      </x:c>
      <x:c r="F4" s="27" t="n">
        <x:f>IF(D4="低",1,IF(D4="中",2,3))*IF(E4="低",1,IF(E4="中",2,IF(E4="高",3,4)))</x:f>
        <x:v>8</x:v>
      </x:c>
      <x:c r="G4" s="27" t="str">
        <x:f>IF(F4&gt;=9,"红色",IF(F4&gt;=5,"黄色","绿色"))</x:f>
        <x:v>黄色</x:v>
      </x:c>
      <x:c r="H4" s="27" t="str">
        <x:v>清单驱动、缺卷检测、fail-closed</x:v>
      </x:c>
      <x:c r="I4" s="27" t="str">
        <x:v>分卷新增/删除/改型</x:v>
      </x:c>
      <x:c r="J4" s="27" t="str">
        <x:v>技术负责人</x:v>
      </x:c>
      <x:c r="K4" s="27" t="str">
        <x:v>开放</x:v>
      </x:c>
      <x:c r="L4" s="37" t="n">
        <x:v>46249</x:v>
      </x:c>
      <x:c r="M4" s="27" t="str"/>
    </x:row>
    <x:row r="5">
      <x:c r="A5" s="27" t="str">
        <x:v>R-004</x:v>
      </x:c>
      <x:c r="B5" s="27" t="str">
        <x:v>项目</x:v>
      </x:c>
      <x:c r="C5" s="27" t="str">
        <x:v>核心开发资源不足导致关键路径延期</x:v>
      </x:c>
      <x:c r="D5" s="27" t="str">
        <x:v>中</x:v>
      </x:c>
      <x:c r="E5" s="27" t="str">
        <x:v>高</x:v>
      </x:c>
      <x:c r="F5" s="27" t="n">
        <x:f>IF(D5="低",1,IF(D5="中",2,3))*IF(E5="低",1,IF(E5="中",2,IF(E5="高",3,4)))</x:f>
        <x:v>6</x:v>
      </x:c>
      <x:c r="G5" s="27" t="str">
        <x:f>IF(F5&gt;=9,"红色",IF(F5&gt;=5,"黄色","绿色"))</x:f>
        <x:v>黄色</x:v>
      </x:c>
      <x:c r="H5" s="27" t="str">
        <x:v>M1/M3 优先；UI 和 Core 并行；限制范围</x:v>
      </x:c>
      <x:c r="I5" s="27" t="str">
        <x:v>核心任务积压超过一周</x:v>
      </x:c>
      <x:c r="J5" s="27" t="str">
        <x:v>项目经理</x:v>
      </x:c>
      <x:c r="K5" s="27" t="str">
        <x:v>开放</x:v>
      </x:c>
      <x:c r="L5" s="37" t="n">
        <x:v>46234</x:v>
      </x:c>
      <x:c r="M5" s="27" t="str"/>
    </x:row>
    <x:row r="6">
      <x:c r="A6" s="27" t="str">
        <x:v>R-005</x:v>
      </x:c>
      <x:c r="B6" s="27" t="str">
        <x:v>质量</x:v>
      </x:c>
      <x:c r="C6" s="27" t="str">
        <x:v>Textual API 行为变化或跨平台差异</x:v>
      </x:c>
      <x:c r="D6" s="27" t="str">
        <x:v>低</x:v>
      </x:c>
      <x:c r="E6" s="27" t="str">
        <x:v>高</x:v>
      </x:c>
      <x:c r="F6" s="27" t="n">
        <x:f>IF(D6="低",1,IF(D6="中",2,3))*IF(E6="低",1,IF(E6="中",2,IF(E6="高",3,4)))</x:f>
        <x:v>3</x:v>
      </x:c>
      <x:c r="G6" s="27" t="str">
        <x:f>IF(F6&gt;=9,"红色",IF(F6&gt;=5,"黄色","绿色"))</x:f>
        <x:v>绿色</x:v>
      </x:c>
      <x:c r="H6" s="27" t="str">
        <x:v>锁定版本；双平台 CI；关键交互自动化</x:v>
      </x:c>
      <x:c r="I6" s="27" t="str">
        <x:v>依赖升级或终端行为不一致</x:v>
      </x:c>
      <x:c r="J6" s="27" t="str">
        <x:v>技术负责人</x:v>
      </x:c>
      <x:c r="K6" s="27" t="str">
        <x:v>开放</x:v>
      </x:c>
      <x:c r="L6" s="37" t="n">
        <x:v>46249</x:v>
      </x:c>
      <x:c r="M6" s="27" t="str"/>
    </x:row>
    <x:row r="7">
      <x:c r="A7" s="27" t="str">
        <x:v>R-006</x:v>
      </x:c>
      <x:c r="B7" s="27" t="str">
        <x:v>安全</x:v>
      </x:c>
      <x:c r="C7" s="27" t="str">
        <x:v>日志泄露 token、用户名或本地路径</x:v>
      </x:c>
      <x:c r="D7" s="27" t="str">
        <x:v>低</x:v>
      </x:c>
      <x:c r="E7" s="27" t="str">
        <x:v>极高</x:v>
      </x:c>
      <x:c r="F7" s="27" t="n">
        <x:f>IF(D7="低",1,IF(D7="中",2,3))*IF(E7="低",1,IF(E7="中",2,IF(E7="高",3,4)))</x:f>
        <x:v>4</x:v>
      </x:c>
      <x:c r="G7" s="27" t="str">
        <x:f>IF(F7&gt;=9,"红色",IF(F7&gt;=5,"黄色","绿色"))</x:f>
        <x:v>绿色</x:v>
      </x:c>
      <x:c r="H7" s="27" t="str">
        <x:v>统一脱敏过滤器和安全测试</x:v>
      </x:c>
      <x:c r="I7" s="27" t="str">
        <x:v>诊断包出现敏感信息</x:v>
      </x:c>
      <x:c r="J7" s="27" t="str">
        <x:v>测试工程师</x:v>
      </x:c>
      <x:c r="K7" s="27" t="str">
        <x:v>开放</x:v>
      </x:c>
      <x:c r="L7" s="37" t="n">
        <x:v>46265</x:v>
      </x:c>
      <x:c r="M7" s="27" t="str"/>
    </x:row>
    <x:row r="8">
      <x:c r="A8" s="27" t="str">
        <x:v>R-007</x:v>
      </x:c>
      <x:c r="B8" s="27" t="str">
        <x:v>质量</x:v>
      </x:c>
      <x:c r="C8" s="27" t="str">
        <x:v>大型 PDF 合并导致内存或磁盘耗尽</x:v>
      </x:c>
      <x:c r="D8" s="27" t="str">
        <x:v>中</x:v>
      </x:c>
      <x:c r="E8" s="27" t="str">
        <x:v>高</x:v>
      </x:c>
      <x:c r="F8" s="27" t="n">
        <x:f>IF(D8="低",1,IF(D8="中",2,3))*IF(E8="低",1,IF(E8="中",2,IF(E8="高",3,4)))</x:f>
        <x:v>6</x:v>
      </x:c>
      <x:c r="G8" s="27" t="str">
        <x:f>IF(F8&gt;=9,"红色",IF(F8&gt;=5,"黄色","绿色"))</x:f>
        <x:v>黄色</x:v>
      </x:c>
      <x:c r="H8" s="27" t="str">
        <x:v>流式处理、空间预检、压力测试</x:v>
      </x:c>
      <x:c r="I8" s="27" t="str">
        <x:v>大文件任务资源超限</x:v>
      </x:c>
      <x:c r="J8" s="27" t="str">
        <x:v>核心开发</x:v>
      </x:c>
      <x:c r="K8" s="27" t="str">
        <x:v>开放</x:v>
      </x:c>
      <x:c r="L8" s="37" t="n">
        <x:v>46265</x:v>
      </x:c>
      <x:c r="M8" s="27" t="str"/>
    </x:row>
    <x:row r="9">
      <x:c r="A9" s="27" t="str">
        <x:v>R-008</x:v>
      </x:c>
      <x:c r="B9" s="27" t="str">
        <x:v>发布</x:v>
      </x:c>
      <x:c r="C9" s="27" t="str">
        <x:v>Windows EXE 杀软误报或构建不稳定</x:v>
      </x:c>
      <x:c r="D9" s="27" t="str">
        <x:v>中</x:v>
      </x:c>
      <x:c r="E9" s="27" t="str">
        <x:v>中</x:v>
      </x:c>
      <x:c r="F9" s="27" t="n">
        <x:f>IF(D9="低",1,IF(D9="中",2,3))*IF(E9="低",1,IF(E9="中",2,IF(E9="高",3,4)))</x:f>
        <x:v>4</x:v>
      </x:c>
      <x:c r="G9" s="27" t="str">
        <x:f>IF(F9&gt;=9,"红色",IF(F9&gt;=5,"黄色","绿色"))</x:f>
        <x:v>绿色</x:v>
      </x:c>
      <x:c r="H9" s="27" t="str">
        <x:v>固定构建环境；校验；提前冒烟</x:v>
      </x:c>
      <x:c r="I9" s="27" t="str">
        <x:v>EXE 被隔离或无法启动</x:v>
      </x:c>
      <x:c r="J9" s="27" t="str">
        <x:v>发布工程师</x:v>
      </x:c>
      <x:c r="K9" s="27" t="str">
        <x:v>开放</x:v>
      </x:c>
      <x:c r="L9" s="37" t="n">
        <x:v>46280</x:v>
      </x:c>
      <x:c r="M9" s="27" t="str"/>
    </x:row>
    <x:row r="10">
      <x:c r="A10" s="27" t="str">
        <x:v>R-009</x:v>
      </x:c>
      <x:c r="B10" s="27" t="str">
        <x:v>需求</x:v>
      </x:c>
      <x:c r="C10" s="27" t="str">
        <x:v>开发阶段新增非 v1.1 功能扩大范围</x:v>
      </x:c>
      <x:c r="D10" s="27" t="str">
        <x:v>中</x:v>
      </x:c>
      <x:c r="E10" s="27" t="str">
        <x:v>高</x:v>
      </x:c>
      <x:c r="F10" s="27" t="n">
        <x:f>IF(D10="低",1,IF(D10="中",2,3))*IF(E10="低",1,IF(E10="中",2,IF(E10="高",3,4)))</x:f>
        <x:v>6</x:v>
      </x:c>
      <x:c r="G10" s="27" t="str">
        <x:f>IF(F10&gt;=9,"红色",IF(F10&gt;=5,"黄色","绿色"))</x:f>
        <x:v>黄色</x:v>
      </x:c>
      <x:c r="H10" s="27" t="str">
        <x:v>变更控制；新增需求进入 v1.2 Backlog</x:v>
      </x:c>
      <x:c r="I10" s="27" t="str">
        <x:v>提出未在 FR-001–020 的需求</x:v>
      </x:c>
      <x:c r="J10" s="27" t="str">
        <x:v>项目经理</x:v>
      </x:c>
      <x:c r="K10" s="27" t="str">
        <x:v>开放</x:v>
      </x:c>
      <x:c r="L10" s="37" t="n">
        <x:v>46234</x:v>
      </x:c>
      <x:c r="M10" s="27" t="str"/>
    </x:row>
    <x:row r="11">
      <x:c r="A11" s="27" t="str">
        <x:v>R-010</x:v>
      </x:c>
      <x:c r="B11" s="27" t="str">
        <x:v>恢复</x:v>
      </x:c>
      <x:c r="C11" s="27" t="str">
        <x:v>状态文件或原子替换在特定文件系统失败</x:v>
      </x:c>
      <x:c r="D11" s="27" t="str">
        <x:v>低</x:v>
      </x:c>
      <x:c r="E11" s="27" t="str">
        <x:v>极高</x:v>
      </x:c>
      <x:c r="F11" s="27" t="n">
        <x:f>IF(D11="低",1,IF(D11="中",2,3))*IF(E11="低",1,IF(E11="中",2,IF(E11="高",3,4)))</x:f>
        <x:v>4</x:v>
      </x:c>
      <x:c r="G11" s="27" t="str">
        <x:f>IF(F11&gt;=9,"红色",IF(F11&gt;=5,"黄色","绿色"))</x:f>
        <x:v>绿色</x:v>
      </x:c>
      <x:c r="H11" s="27" t="str">
        <x:v>备份、Schema、故障注入和安全模式</x:v>
      </x:c>
      <x:c r="I11" s="27" t="str">
        <x:v>状态写入或 replace 报错</x:v>
      </x:c>
      <x:c r="J11" s="27" t="str">
        <x:v>技术负责人</x:v>
      </x:c>
      <x:c r="K11" s="27" t="str">
        <x:v>开放</x:v>
      </x:c>
      <x:c r="L11" s="37" t="n">
        <x:v>46265</x:v>
      </x:c>
      <x:c r="M11" s="27" t="str"/>
    </x:row>
  </x:sheetData>
  <x:conditionalFormatting sqref="G2:G11">
    <x:cfRule type="expression" dxfId="10" priority="1">
      <x:formula>G2="绿色"</x:formula>
    </x:cfRule>
    <x:cfRule type="expression" dxfId="11" priority="2">
      <x:formula>G2="黄色"</x:formula>
    </x:cfRule>
    <x:cfRule type="expression" dxfId="12" priority="3">
      <x:formula>G2="红色"</x:formula>
    </x:cfRule>
  </x:conditionalFormatting>
  <x:dataValidations count="3">
    <x:dataValidation type="list" sqref="D2:D11">
      <x:formula1>"低,中,高"</x:formula1>
    </x:dataValidation>
    <x:dataValidation type="list" sqref="E2:E11">
      <x:formula1>"低,中,高,极高"</x:formula1>
    </x:dataValidation>
    <x:dataValidation type="list" sqref="K2:K11">
      <x:formula1>"开放,缓解中,已关闭,接受"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8cdfa9fe254b2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6" hidden="0" customWidth="1"/>
  </x:cols>
  <x:sheetData>
    <x:row r="1">
      <x:c r="A1" s="32" t="str">
        <x:v>字段</x:v>
      </x:c>
      <x:c r="B1" s="32" t="str">
        <x:v>允许值/格式</x:v>
      </x:c>
      <x:c r="C1" s="32" t="str">
        <x:v>说明</x:v>
      </x:c>
    </x:row>
    <x:row r="2">
      <x:c r="A2" s="27" t="str">
        <x:v>项目开始日期</x:v>
      </x:c>
      <x:c r="B2" s="27" t="str">
        <x:v>yyyy-mm-dd</x:v>
      </x:c>
      <x:c r="C2" s="27" t="str">
        <x:v>执行看板 B3，可由项目经理调整</x:v>
      </x:c>
    </x:row>
    <x:row r="3">
      <x:c r="A3" s="27" t="str">
        <x:v>项目可用工作日</x:v>
      </x:c>
      <x:c r="B3" s="27" t="str">
        <x:v>整数</x:v>
      </x:c>
      <x:c r="C3" s="27" t="str">
        <x:v>执行看板 B5，用于资源负载率估算</x:v>
      </x:c>
    </x:row>
    <x:row r="4">
      <x:c r="A4" s="27" t="str">
        <x:v>状态</x:v>
      </x:c>
      <x:c r="B4" s="27" t="str">
        <x:v>未开始 / 进行中 / 已完成 / 阻塞 / 延期 / 取消</x:v>
      </x:c>
      <x:c r="C4" s="27" t="str">
        <x:v>任务执行状态</x:v>
      </x:c>
    </x:row>
    <x:row r="5">
      <x:c r="A5" s="27" t="str">
        <x:v>完成度</x:v>
      </x:c>
      <x:c r="B5" s="27" t="str">
        <x:v>0%–100%</x:v>
      </x:c>
      <x:c r="C5" s="27" t="str">
        <x:v>任务实际完成比例</x:v>
      </x:c>
    </x:row>
    <x:row r="6">
      <x:c r="A6" s="27" t="str">
        <x:v>健康度</x:v>
      </x:c>
      <x:c r="B6" s="27" t="str">
        <x:v>绿色 / 蓝色 / 黄色 / 红色 / 灰色</x:v>
      </x:c>
      <x:c r="C6" s="27" t="str">
        <x:v>由计划日期、状态和完成度自动计算</x:v>
      </x:c>
    </x:row>
    <x:row r="7">
      <x:c r="A7" s="27" t="str">
        <x:v>优先级</x:v>
      </x:c>
      <x:c r="B7" s="27" t="str">
        <x:v>P0 / P1 / P2</x:v>
      </x:c>
      <x:c r="C7" s="27" t="str">
        <x:v>P0 为发布阻塞级</x:v>
      </x:c>
    </x:row>
    <x:row r="8">
      <x:c r="A8" s="27" t="str">
        <x:v>概率</x:v>
      </x:c>
      <x:c r="B8" s="27" t="str">
        <x:v>低 / 中 / 高</x:v>
      </x:c>
      <x:c r="C8" s="27" t="str">
        <x:v>风险发生概率</x:v>
      </x:c>
    </x:row>
    <x:row r="9">
      <x:c r="A9" s="27" t="str">
        <x:v>影响</x:v>
      </x:c>
      <x:c r="B9" s="27" t="str">
        <x:v>低 / 中 / 高 / 极高</x:v>
      </x:c>
      <x:c r="C9" s="27" t="str">
        <x:v>风险影响程度</x:v>
      </x:c>
    </x:row>
    <x:row r="10">
      <x:c r="A10" s="27" t="str">
        <x:v>风险等级</x:v>
      </x:c>
      <x:c r="B10" s="27" t="str">
        <x:v>绿色 / 黄色 / 红色</x:v>
      </x:c>
      <x:c r="C10" s="27" t="str">
        <x:v>由概率×影响自动计算</x:v>
      </x:c>
    </x:row>
    <x:row r="11">
      <x:c r="A11" s="27" t="str">
        <x:v>投入FTE</x:v>
      </x:c>
      <x:c r="B11" s="27" t="str">
        <x:v>0–2.0</x:v>
      </x:c>
      <x:c r="C11" s="27" t="str">
        <x:v>该任务期间的平均全职投入</x:v>
      </x:c>
    </x:row>
    <x:row r="12">
      <x:c r="A12" s="27" t="str">
        <x:v>计划人日</x:v>
      </x:c>
      <x:c r="B12" s="27" t="str">
        <x:v>工期×投入FTE</x:v>
      </x:c>
      <x:c r="C12" s="27" t="str">
        <x:v>用于资源负荷与工作量估算</x:v>
      </x:c>
    </x:row>
    <x:row r="13">
      <x:c r="A13" s="27" t="str">
        <x:v>依赖任务</x:v>
      </x:c>
      <x:c r="B13" s="27" t="str">
        <x:v>WBS ID，逗号分隔</x:v>
      </x:c>
      <x:c r="C13" s="27" t="str">
        <x:v>逻辑前置依赖，需在排期变更时复核</x:v>
      </x:c>
    </x:row>
  </x:sheetData>
  <x:pageMargins left="0.7" right="0.7" top="0.75" bottom="0.75" header="0.3" footer="0.3"/>
</x:worksheet>
</file>